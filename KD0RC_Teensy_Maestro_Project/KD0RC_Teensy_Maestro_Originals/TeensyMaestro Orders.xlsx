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TeensyMaestro\"/>
    </mc:Choice>
  </mc:AlternateContent>
  <xr:revisionPtr revIDLastSave="0" documentId="13_ncr:1_{8FAA8F33-9552-4781-B8F3-3E44B0A36305}" xr6:coauthVersionLast="47" xr6:coauthVersionMax="47" xr10:uidLastSave="{00000000-0000-0000-0000-000000000000}"/>
  <bookViews>
    <workbookView xWindow="-110" yWindow="-110" windowWidth="19420" windowHeight="10420" activeTab="2" xr2:uid="{E898C492-9813-48E4-B131-16875440B475}"/>
  </bookViews>
  <sheets>
    <sheet name="Orders" sheetId="1" r:id="rId1"/>
    <sheet name="Materials" sheetId="2" r:id="rId2"/>
    <sheet name="Ship Sheet" sheetId="3" r:id="rId3"/>
  </sheets>
  <definedNames>
    <definedName name="_xlnm.Print_Area" localSheetId="2">'Ship Sheet'!$A$5:$G$19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3" l="1"/>
  <c r="K1" i="3" s="1"/>
  <c r="E14" i="3"/>
  <c r="J1" i="3"/>
  <c r="I50" i="1"/>
  <c r="J50" i="1" s="1"/>
  <c r="G50" i="1"/>
  <c r="D51" i="1"/>
  <c r="C51" i="1"/>
  <c r="G49" i="1"/>
  <c r="J49" i="1" s="1"/>
  <c r="G48" i="1"/>
  <c r="J48" i="1" s="1"/>
  <c r="G44" i="1"/>
  <c r="J44" i="1" s="1"/>
  <c r="G45" i="1"/>
  <c r="J45" i="1" s="1"/>
  <c r="G46" i="1"/>
  <c r="J46" i="1" s="1"/>
  <c r="K46" i="1" s="1"/>
  <c r="G47" i="1"/>
  <c r="J47" i="1" s="1"/>
  <c r="G5" i="3"/>
  <c r="E15" i="3"/>
  <c r="D12" i="3"/>
  <c r="D11" i="3"/>
  <c r="B12" i="3"/>
  <c r="F12" i="3" s="1"/>
  <c r="B11" i="3"/>
  <c r="F11" i="3" s="1"/>
  <c r="C8" i="3"/>
  <c r="C7" i="3"/>
  <c r="C5" i="3"/>
  <c r="C6" i="3"/>
  <c r="L1" i="3" l="1"/>
  <c r="M1" i="3"/>
  <c r="K50" i="1"/>
  <c r="K49" i="1"/>
  <c r="K48" i="1"/>
  <c r="K45" i="1"/>
  <c r="L45" i="1" s="1"/>
  <c r="K47" i="1"/>
  <c r="L47" i="1" s="1"/>
  <c r="K44" i="1"/>
  <c r="L44" i="1" s="1"/>
  <c r="L46" i="1"/>
  <c r="M46" i="1" s="1"/>
  <c r="E12" i="3"/>
  <c r="F13" i="3"/>
  <c r="E11" i="3"/>
  <c r="N1" i="3" l="1"/>
  <c r="L50" i="1"/>
  <c r="M50" i="1" s="1"/>
  <c r="L49" i="1"/>
  <c r="M49" i="1" s="1"/>
  <c r="L48" i="1"/>
  <c r="M48" i="1" s="1"/>
  <c r="M44" i="1"/>
  <c r="M47" i="1"/>
  <c r="M45" i="1"/>
  <c r="E13" i="3"/>
  <c r="E16" i="3" s="1"/>
  <c r="E17" i="3" s="1"/>
  <c r="E18" i="3" l="1"/>
  <c r="E19" i="3" s="1"/>
  <c r="G35" i="1" l="1"/>
  <c r="J35" i="1" s="1"/>
  <c r="K35" i="1" s="1"/>
  <c r="G36" i="1"/>
  <c r="J36" i="1" s="1"/>
  <c r="K36" i="1" s="1"/>
  <c r="G37" i="1"/>
  <c r="J37" i="1" s="1"/>
  <c r="K37" i="1" s="1"/>
  <c r="G38" i="1"/>
  <c r="J38" i="1" s="1"/>
  <c r="K38" i="1" s="1"/>
  <c r="G39" i="1"/>
  <c r="J39" i="1" s="1"/>
  <c r="K39" i="1" s="1"/>
  <c r="G40" i="1"/>
  <c r="J40" i="1" s="1"/>
  <c r="K40" i="1" s="1"/>
  <c r="G41" i="1"/>
  <c r="J41" i="1" s="1"/>
  <c r="K41" i="1" s="1"/>
  <c r="G42" i="1"/>
  <c r="J42" i="1" s="1"/>
  <c r="K42" i="1" s="1"/>
  <c r="G43" i="1"/>
  <c r="J43" i="1" s="1"/>
  <c r="K43" i="1" s="1"/>
  <c r="G13" i="1"/>
  <c r="J13" i="1" s="1"/>
  <c r="K13" i="1" s="1"/>
  <c r="G14" i="1"/>
  <c r="J14" i="1" s="1"/>
  <c r="K14" i="1" s="1"/>
  <c r="G15" i="1"/>
  <c r="J15" i="1" s="1"/>
  <c r="K15" i="1" s="1"/>
  <c r="G16" i="1"/>
  <c r="J16" i="1" s="1"/>
  <c r="K16" i="1" s="1"/>
  <c r="G17" i="1"/>
  <c r="J17" i="1" s="1"/>
  <c r="K17" i="1" s="1"/>
  <c r="G18" i="1"/>
  <c r="J18" i="1" s="1"/>
  <c r="K18" i="1" s="1"/>
  <c r="G19" i="1"/>
  <c r="J19" i="1" s="1"/>
  <c r="K19" i="1" s="1"/>
  <c r="G20" i="1"/>
  <c r="J20" i="1" s="1"/>
  <c r="K20" i="1" s="1"/>
  <c r="G21" i="1"/>
  <c r="J21" i="1" s="1"/>
  <c r="K21" i="1" s="1"/>
  <c r="G22" i="1"/>
  <c r="J22" i="1" s="1"/>
  <c r="K22" i="1" s="1"/>
  <c r="G23" i="1"/>
  <c r="J23" i="1" s="1"/>
  <c r="K23" i="1" s="1"/>
  <c r="G24" i="1"/>
  <c r="J24" i="1" s="1"/>
  <c r="K24" i="1" s="1"/>
  <c r="G25" i="1"/>
  <c r="J25" i="1" s="1"/>
  <c r="K25" i="1" s="1"/>
  <c r="G26" i="1"/>
  <c r="J26" i="1" s="1"/>
  <c r="K26" i="1" s="1"/>
  <c r="G27" i="1"/>
  <c r="J27" i="1" s="1"/>
  <c r="K27" i="1" s="1"/>
  <c r="G28" i="1"/>
  <c r="J28" i="1" s="1"/>
  <c r="K28" i="1" s="1"/>
  <c r="G29" i="1"/>
  <c r="J29" i="1" s="1"/>
  <c r="K29" i="1" s="1"/>
  <c r="G30" i="1"/>
  <c r="J30" i="1" s="1"/>
  <c r="K30" i="1" s="1"/>
  <c r="G31" i="1"/>
  <c r="J31" i="1" s="1"/>
  <c r="K31" i="1" s="1"/>
  <c r="G32" i="1"/>
  <c r="J32" i="1" s="1"/>
  <c r="K32" i="1" s="1"/>
  <c r="G33" i="1"/>
  <c r="J33" i="1" s="1"/>
  <c r="K33" i="1" s="1"/>
  <c r="G34" i="1"/>
  <c r="J34" i="1" s="1"/>
  <c r="K34" i="1" s="1"/>
  <c r="G8" i="1"/>
  <c r="J8" i="1" s="1"/>
  <c r="K8" i="1" s="1"/>
  <c r="G9" i="1"/>
  <c r="J9" i="1" s="1"/>
  <c r="K9" i="1" s="1"/>
  <c r="G10" i="1"/>
  <c r="J10" i="1" s="1"/>
  <c r="K10" i="1" s="1"/>
  <c r="G11" i="1"/>
  <c r="J11" i="1" s="1"/>
  <c r="K11" i="1" s="1"/>
  <c r="G12" i="1"/>
  <c r="J12" i="1" s="1"/>
  <c r="K12" i="1" s="1"/>
  <c r="G7" i="1"/>
  <c r="J7" i="1" s="1"/>
  <c r="K7" i="1" s="1"/>
  <c r="L43" i="1" l="1"/>
  <c r="M43" i="1" s="1"/>
  <c r="L42" i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M42" i="1"/>
  <c r="O7" i="2"/>
  <c r="O3" i="2"/>
  <c r="O4" i="2"/>
  <c r="O5" i="2"/>
  <c r="O6" i="2"/>
  <c r="O2" i="2"/>
  <c r="N7" i="2"/>
  <c r="N6" i="2"/>
  <c r="N5" i="2"/>
  <c r="N4" i="2"/>
  <c r="N3" i="2"/>
  <c r="N2" i="2"/>
  <c r="M7" i="2"/>
  <c r="M6" i="2"/>
  <c r="M5" i="2"/>
  <c r="M4" i="2"/>
  <c r="M3" i="2"/>
  <c r="M2" i="2"/>
  <c r="J4" i="2"/>
  <c r="J5" i="2"/>
  <c r="J3" i="2"/>
  <c r="C6" i="2"/>
  <c r="D4" i="2" s="1"/>
  <c r="E4" i="2" s="1"/>
  <c r="G6" i="1"/>
  <c r="J6" i="1" s="1"/>
  <c r="K6" i="1" s="1"/>
  <c r="D5" i="2" l="1"/>
  <c r="G4" i="2"/>
  <c r="F4" i="2"/>
  <c r="H4" i="2"/>
  <c r="D3" i="2"/>
  <c r="L6" i="1"/>
  <c r="M6" i="1" s="1"/>
  <c r="G5" i="1"/>
  <c r="J5" i="1" s="1"/>
  <c r="E3" i="2" l="1"/>
  <c r="F3" i="2"/>
  <c r="D6" i="2"/>
  <c r="H3" i="2"/>
  <c r="G3" i="2"/>
  <c r="E5" i="2"/>
  <c r="F5" i="2"/>
  <c r="G5" i="2"/>
  <c r="H5" i="2"/>
  <c r="K5" i="1"/>
  <c r="H6" i="2" l="1"/>
  <c r="F6" i="2"/>
  <c r="G6" i="2"/>
  <c r="E6" i="2"/>
  <c r="L5" i="1"/>
  <c r="M5" i="1" s="1"/>
  <c r="I6" i="2" l="1"/>
</calcChain>
</file>

<file path=xl/sharedStrings.xml><?xml version="1.0" encoding="utf-8"?>
<sst xmlns="http://schemas.openxmlformats.org/spreadsheetml/2006/main" count="260" uniqueCount="239">
  <si>
    <t>Name</t>
  </si>
  <si>
    <t>Call</t>
  </si>
  <si>
    <t>Board sets</t>
  </si>
  <si>
    <t xml:space="preserve">    Address</t>
  </si>
  <si>
    <t>TeensyMaestro Board Set Orders</t>
  </si>
  <si>
    <t>Kasey Efaw</t>
  </si>
  <si>
    <t>KD2YMM</t>
  </si>
  <si>
    <t>14 Highland Road, Amsterdam, NY 12010</t>
  </si>
  <si>
    <t>PCB Set Cost</t>
  </si>
  <si>
    <t>Tax</t>
  </si>
  <si>
    <t>Paypal Fee</t>
  </si>
  <si>
    <t>Total</t>
  </si>
  <si>
    <t>Envelope Cost</t>
  </si>
  <si>
    <t>N7QPP</t>
  </si>
  <si>
    <t>Joe Camilli</t>
  </si>
  <si>
    <t>Email</t>
  </si>
  <si>
    <t>jjcamilli@hotmail.com</t>
  </si>
  <si>
    <t>kd2ymm@gmail.com</t>
  </si>
  <si>
    <t>3660 Preakness ln, Suwannee, GA 30024</t>
  </si>
  <si>
    <t>Michael Morgan</t>
  </si>
  <si>
    <t>AA5SH</t>
  </si>
  <si>
    <t>cmorgan13@gmail.com</t>
  </si>
  <si>
    <t>30994 La Highway 16, Denham Springs, LA 70726</t>
  </si>
  <si>
    <t>K6KAR</t>
  </si>
  <si>
    <t>Kirk Harding</t>
  </si>
  <si>
    <t xml:space="preserve">835 Golden Pond Court, Osprey, FL 34229 </t>
  </si>
  <si>
    <t>kirk.harding@k6kar.com</t>
  </si>
  <si>
    <t>Brett Mills</t>
  </si>
  <si>
    <t>WX7Y</t>
  </si>
  <si>
    <t>P.O. Box 1161, Castle Dale, Utah 84513</t>
  </si>
  <si>
    <t>bret.wx7y@wx7y.net</t>
  </si>
  <si>
    <t>Clifford Miller</t>
  </si>
  <si>
    <t>W4CMM</t>
  </si>
  <si>
    <t>clifford@millerlawoffices.us</t>
  </si>
  <si>
    <t>916 47th Ave, Vero Beach FL 32966</t>
  </si>
  <si>
    <t>Warren Volz</t>
  </si>
  <si>
    <t>3040 Albion St, Denver, CO 80207</t>
  </si>
  <si>
    <t>KD5YPH</t>
  </si>
  <si>
    <t>warren@warrenvolz.com</t>
  </si>
  <si>
    <t>WY8V</t>
  </si>
  <si>
    <t>3075 Boys Ranch Road, Kempner, Texas 76539</t>
  </si>
  <si>
    <t>sburnes@icloud.com</t>
  </si>
  <si>
    <t>Sam R Burnes</t>
  </si>
  <si>
    <t>VK5RR</t>
  </si>
  <si>
    <t>Ray Spargo</t>
  </si>
  <si>
    <t>vk5rr@vk5rr.com</t>
  </si>
  <si>
    <t>?</t>
  </si>
  <si>
    <t>Greg Fischer</t>
  </si>
  <si>
    <t>19127 Kenney Way, Caldwell,  Idaho. 83605</t>
  </si>
  <si>
    <t>AB7R</t>
  </si>
  <si>
    <t>28 Pearson St, Parafield Gardens South Australia 5107, Australia</t>
  </si>
  <si>
    <t>PO Box 2900, Adelaide South, Australia 5107</t>
  </si>
  <si>
    <t>Watts Hill</t>
  </si>
  <si>
    <t>K4QJZ</t>
  </si>
  <si>
    <t>208 Mountain Top Road, Front Royal, VA 22630</t>
  </si>
  <si>
    <t>watts.hill@gmail.com</t>
  </si>
  <si>
    <t>Ron Panetta</t>
  </si>
  <si>
    <t>WB2WGH</t>
  </si>
  <si>
    <t>7913 Walking Stick Way, Liverpool, NY 13090</t>
  </si>
  <si>
    <t>ron@panman.us</t>
  </si>
  <si>
    <t>Kits</t>
  </si>
  <si>
    <t>Steve Boston</t>
  </si>
  <si>
    <t>stevenk2sab@gmail.com</t>
  </si>
  <si>
    <t>K2SAB</t>
  </si>
  <si>
    <t>Jim Kauten</t>
  </si>
  <si>
    <t>W4TE</t>
  </si>
  <si>
    <t>kautenmd@gmail.com</t>
  </si>
  <si>
    <t>Martin Koechel</t>
  </si>
  <si>
    <t>KW1M</t>
  </si>
  <si>
    <t>kw1m@outlook.com</t>
  </si>
  <si>
    <t>walterh@k5wh.net</t>
  </si>
  <si>
    <t>K5WH</t>
  </si>
  <si>
    <t>Walter Holmes</t>
  </si>
  <si>
    <t>Danny Pease</t>
  </si>
  <si>
    <t>W9DP</t>
  </si>
  <si>
    <t>w9dp@w9dp.us</t>
  </si>
  <si>
    <t>Steve Sterling</t>
  </si>
  <si>
    <t>WA7DUH</t>
  </si>
  <si>
    <t>wa7duh@sgsterling.com</t>
  </si>
  <si>
    <t>W0SZ</t>
  </si>
  <si>
    <t>2655 65th Ave, Greeley CO 80634-8904</t>
  </si>
  <si>
    <t>Steve Zumbrun</t>
  </si>
  <si>
    <t>w0sz@comcast.net</t>
  </si>
  <si>
    <t>N2ZZ</t>
  </si>
  <si>
    <t>James Boehner</t>
  </si>
  <si>
    <t>NY2KW</t>
  </si>
  <si>
    <t>jsternmd@gmail.com</t>
  </si>
  <si>
    <t>Jerry Stern</t>
  </si>
  <si>
    <t>jboehner01@yahoo.com</t>
  </si>
  <si>
    <t>10726 Crestfield Ct., Houston, Tx. 77070</t>
  </si>
  <si>
    <t>K4PEZ</t>
  </si>
  <si>
    <t>Don Pezet</t>
  </si>
  <si>
    <t>don@thepezets.com</t>
  </si>
  <si>
    <t>robin@tartanlatte.com</t>
  </si>
  <si>
    <t>W7YED</t>
  </si>
  <si>
    <t>Robin Alexander</t>
  </si>
  <si>
    <t>WA1MBA</t>
  </si>
  <si>
    <t>Tomw3141@gmail.com</t>
  </si>
  <si>
    <t>Tom Williams</t>
  </si>
  <si>
    <t>NI0K</t>
  </si>
  <si>
    <t>26189 President DR NW, Shevlin MN 56676</t>
  </si>
  <si>
    <t>jasimmons@pinewooddata.com</t>
  </si>
  <si>
    <t>John Simmons</t>
  </si>
  <si>
    <t>Ship cost@ 6 oz</t>
  </si>
  <si>
    <t>SUBtotal</t>
  </si>
  <si>
    <t>876 Plausawa Hill Road , Pembroke, NH 03275</t>
  </si>
  <si>
    <t>WV5Q</t>
  </si>
  <si>
    <t>Don Rand</t>
  </si>
  <si>
    <t>don.rand@gmail.com</t>
  </si>
  <si>
    <t>9205 Ashburn Rd, Vancleave, MS 39565</t>
  </si>
  <si>
    <t>James Hurry</t>
  </si>
  <si>
    <t>WA5QPZ</t>
  </si>
  <si>
    <t>201 Mesa Verde Dr., Cedar Creek,  Texas. 78612</t>
  </si>
  <si>
    <t>wa5qpz@gmail.com</t>
  </si>
  <si>
    <t>Saad Mahaini</t>
  </si>
  <si>
    <t>N5FF</t>
  </si>
  <si>
    <t>n5ff@yahoo.com</t>
  </si>
  <si>
    <t>20 Edgefield Ln, Lucas, TX 75002</t>
  </si>
  <si>
    <t>558 Arden Oak Ct , Atlanta, GA 30305</t>
  </si>
  <si>
    <t>K5YZW</t>
  </si>
  <si>
    <t>8625 Davis Blvd, Apt 2201, North Richland Hills, TX 76182</t>
  </si>
  <si>
    <t>Ed Ireland</t>
  </si>
  <si>
    <t>ed@edireland.com</t>
  </si>
  <si>
    <t>Ken Kayser</t>
  </si>
  <si>
    <t>1101 Nauvoo Ridge Dr., Tobaccoville, NC  27050</t>
  </si>
  <si>
    <t>K2KXK</t>
  </si>
  <si>
    <t>kxkayser@gmail.com</t>
  </si>
  <si>
    <t>AA5UN</t>
  </si>
  <si>
    <t>aa5un2020@gmail.com</t>
  </si>
  <si>
    <t>Granbury, Texas</t>
  </si>
  <si>
    <t>purselley@gmail.com for paypal</t>
  </si>
  <si>
    <t>Marty Purselly</t>
  </si>
  <si>
    <t>KC8RP</t>
  </si>
  <si>
    <t>Richard Pestinger</t>
  </si>
  <si>
    <t>rpestinger@gmail.com</t>
  </si>
  <si>
    <t>NQ9N</t>
  </si>
  <si>
    <t>george@NQ9N.com</t>
  </si>
  <si>
    <t>David Parker</t>
  </si>
  <si>
    <t>N4ASA</t>
  </si>
  <si>
    <t>n4asa@yahoo.com</t>
  </si>
  <si>
    <t>924 Pool Street, Biddeford, ME 04005</t>
  </si>
  <si>
    <t>K8QKJ</t>
  </si>
  <si>
    <t>Michael LaFleur</t>
  </si>
  <si>
    <t>mplafleur@gmail.com</t>
  </si>
  <si>
    <t>WA4RTS</t>
  </si>
  <si>
    <t>Gordon Howell</t>
  </si>
  <si>
    <t>gphowell@icloud.com</t>
  </si>
  <si>
    <t>201 Irvington Street, Lynchburg, VA. 24503</t>
  </si>
  <si>
    <t>Norman Heyen</t>
  </si>
  <si>
    <t>KC9NVN</t>
  </si>
  <si>
    <t>norman.heyen@gmail.com</t>
  </si>
  <si>
    <t>1032 Burke Drive , Freeport, IL 61032</t>
  </si>
  <si>
    <t>KA8SPW</t>
  </si>
  <si>
    <t>ka8spw@gmail.com</t>
  </si>
  <si>
    <t>1679 Topinabee Mail Route Rd., Cheboygan, Michigan  49721</t>
  </si>
  <si>
    <t>Shanon Herron</t>
  </si>
  <si>
    <t>Norman Schklar</t>
  </si>
  <si>
    <t>WA4ZXV</t>
  </si>
  <si>
    <t>norman@schklar.com</t>
  </si>
  <si>
    <t>Contacted</t>
  </si>
  <si>
    <t>Invoiced</t>
  </si>
  <si>
    <t>Shipped</t>
  </si>
  <si>
    <t>George Levar</t>
  </si>
  <si>
    <t>Mike Fatchett</t>
  </si>
  <si>
    <t>W0MU</t>
  </si>
  <si>
    <t>w0mu@w0mu.com</t>
  </si>
  <si>
    <t xml:space="preserve"> Suite AU49424, 4283 Express Lane, Sarasota FL 34249</t>
  </si>
  <si>
    <t>TM PCB</t>
  </si>
  <si>
    <t>TM FP</t>
  </si>
  <si>
    <t>Array PCB</t>
  </si>
  <si>
    <t>Total parts</t>
  </si>
  <si>
    <t>Shipping</t>
  </si>
  <si>
    <t>Tariff</t>
  </si>
  <si>
    <t>PP Fee</t>
  </si>
  <si>
    <t>Cost per</t>
  </si>
  <si>
    <t>FP</t>
  </si>
  <si>
    <t>PCB</t>
  </si>
  <si>
    <t>TOTAL</t>
  </si>
  <si>
    <t>Materials</t>
  </si>
  <si>
    <t>PCB+FP</t>
  </si>
  <si>
    <t>FPs only</t>
  </si>
  <si>
    <t>Board packs</t>
  </si>
  <si>
    <t>one set</t>
  </si>
  <si>
    <t>Two sets</t>
  </si>
  <si>
    <t>6 oz</t>
  </si>
  <si>
    <t>11 oz</t>
  </si>
  <si>
    <t>27670 California Dr SE, Lathrup Village, MI 48076</t>
  </si>
  <si>
    <t>58 Orchard Hill Rd, Katonah, NY, 10536</t>
  </si>
  <si>
    <t>jitters61@pm.me</t>
  </si>
  <si>
    <t>16619 NE 160th St,, Woodinville, WA 98072</t>
  </si>
  <si>
    <t>James Kvochick</t>
  </si>
  <si>
    <t>K8JK</t>
  </si>
  <si>
    <t>6 Glenridge Blvd, Homosassa, FL 34446</t>
  </si>
  <si>
    <t>kvo@att.net</t>
  </si>
  <si>
    <t>Email:</t>
  </si>
  <si>
    <t>Name:</t>
  </si>
  <si>
    <t>Funds Recd</t>
  </si>
  <si>
    <t>Call:</t>
  </si>
  <si>
    <t>Address:</t>
  </si>
  <si>
    <t>Order:</t>
  </si>
  <si>
    <t>Quantity</t>
  </si>
  <si>
    <t>Description</t>
  </si>
  <si>
    <t>Each</t>
  </si>
  <si>
    <t>Total Each</t>
  </si>
  <si>
    <t>Ship wt</t>
  </si>
  <si>
    <t>Ship Wt Ea</t>
  </si>
  <si>
    <t>Total MDSE</t>
  </si>
  <si>
    <t>Envelope(s)</t>
  </si>
  <si>
    <t>^</t>
  </si>
  <si>
    <t>Semi</t>
  </si>
  <si>
    <t>Sales Tax  @8.25%</t>
  </si>
  <si>
    <t>Paypal Fee  @5%</t>
  </si>
  <si>
    <t xml:space="preserve">TOTAL </t>
  </si>
  <si>
    <t xml:space="preserve"> </t>
  </si>
  <si>
    <t>Teensy Maestro Boardset (PCB+FP)</t>
  </si>
  <si>
    <t>Teensy Maestro Full Kit</t>
  </si>
  <si>
    <t>10691 SW Sunray St, Port Saint Lucie, FL 34987</t>
  </si>
  <si>
    <t>26711 Dallas RD, Richland, WA 99352</t>
  </si>
  <si>
    <t>Paid</t>
  </si>
  <si>
    <t>WX7V</t>
  </si>
  <si>
    <t>2836 Dyer St, Dallas Tx 75205</t>
  </si>
  <si>
    <t>Chris White</t>
  </si>
  <si>
    <t>chrislwhite93@gmail.com</t>
  </si>
  <si>
    <t>306 S. Illinois , Camp Point, IL 62320</t>
  </si>
  <si>
    <t>9195 Georgetown Cir, Loveland, OH 45140</t>
  </si>
  <si>
    <t>Jerry Clouatre</t>
  </si>
  <si>
    <t>AG5AY</t>
  </si>
  <si>
    <t>jerry.clouatre@gmail.com</t>
  </si>
  <si>
    <t>9626 E Inniswold Rd, Baton Rouge LA 70809</t>
  </si>
  <si>
    <t>Mark Bender</t>
  </si>
  <si>
    <t>KD6NOT</t>
  </si>
  <si>
    <t>kd6not@verizon.net</t>
  </si>
  <si>
    <t>Noel Lopez</t>
  </si>
  <si>
    <t>NR5R</t>
  </si>
  <si>
    <t>lopeznoel956@gmail.com</t>
  </si>
  <si>
    <t>Fred Krause</t>
  </si>
  <si>
    <t>WF8Z</t>
  </si>
  <si>
    <t>fakrause@gmail.com</t>
  </si>
  <si>
    <t>4538 Mosiman Rd., Middletown, OH  45042-1626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</si>
</sst>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%"/>
    <numFmt numFmtId="165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44" fontId="3" fillId="0" borderId="0" xfId="1" applyFont="1"/>
    <xf numFmtId="0" fontId="4" fillId="0" borderId="0" xfId="2"/>
    <xf numFmtId="0" fontId="4" fillId="0" borderId="0" xfId="2" applyAlignment="1">
      <alignment horizontal="left"/>
    </xf>
    <xf numFmtId="0" fontId="3" fillId="0" borderId="0" xfId="0" applyFont="1" applyAlignment="1">
      <alignment wrapText="1"/>
    </xf>
    <xf numFmtId="44" fontId="3" fillId="0" borderId="0" xfId="0" applyNumberFormat="1" applyFont="1"/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6" fillId="0" borderId="0" xfId="0" applyFont="1"/>
    <xf numFmtId="44" fontId="0" fillId="0" borderId="0" xfId="1" applyFont="1"/>
    <xf numFmtId="44" fontId="0" fillId="0" borderId="1" xfId="1" applyFont="1" applyBorder="1"/>
    <xf numFmtId="9" fontId="0" fillId="0" borderId="0" xfId="3" applyFont="1"/>
    <xf numFmtId="164" fontId="0" fillId="0" borderId="0" xfId="3" applyNumberFormat="1" applyFont="1"/>
    <xf numFmtId="0" fontId="0" fillId="0" borderId="0" xfId="0" applyAlignment="1">
      <alignment horizontal="center"/>
    </xf>
    <xf numFmtId="44" fontId="0" fillId="0" borderId="0" xfId="0" applyNumberFormat="1"/>
    <xf numFmtId="44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44" fontId="8" fillId="0" borderId="0" xfId="0" applyNumberFormat="1" applyFont="1"/>
    <xf numFmtId="0" fontId="7" fillId="2" borderId="0" xfId="0" applyFont="1" applyFill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9" fillId="0" borderId="0" xfId="0" applyFont="1"/>
    <xf numFmtId="0" fontId="0" fillId="5" borderId="0" xfId="0" applyFill="1"/>
    <xf numFmtId="0" fontId="0" fillId="5" borderId="4" xfId="0" applyFill="1" applyBorder="1"/>
    <xf numFmtId="0" fontId="7" fillId="2" borderId="0" xfId="0" applyFont="1" applyFill="1" applyAlignment="1">
      <alignment horizontal="left"/>
    </xf>
    <xf numFmtId="0" fontId="0" fillId="2" borderId="0" xfId="0" applyFill="1"/>
    <xf numFmtId="0" fontId="8" fillId="0" borderId="0" xfId="0" applyFont="1"/>
    <xf numFmtId="0" fontId="7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8" fontId="0" fillId="0" borderId="0" xfId="0" applyNumberFormat="1"/>
    <xf numFmtId="165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8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8" fontId="7" fillId="0" borderId="0" xfId="0" applyNumberFormat="1" applyFont="1"/>
    <xf numFmtId="0" fontId="0" fillId="0" borderId="5" xfId="0" applyBorder="1"/>
    <xf numFmtId="0" fontId="0" fillId="0" borderId="6" xfId="0" applyBorder="1"/>
    <xf numFmtId="8" fontId="0" fillId="0" borderId="6" xfId="0" applyNumberFormat="1" applyBorder="1"/>
    <xf numFmtId="44" fontId="10" fillId="2" borderId="1" xfId="0" applyNumberFormat="1" applyFont="1" applyFill="1" applyBorder="1"/>
    <xf numFmtId="8" fontId="3" fillId="0" borderId="0" xfId="1" applyNumberFormat="1" applyFont="1"/>
    <xf numFmtId="0" fontId="5" fillId="6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4">
    <cellStyle name="Currency" xfId="1" builtinId="4"/>
    <cellStyle name="Hyperlink" xfId="2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burnes@icloud.com" TargetMode="External"/><Relationship Id="rId13" Type="http://schemas.openxmlformats.org/officeDocument/2006/relationships/hyperlink" Target="mailto:stevenk2sab@gmail.com" TargetMode="External"/><Relationship Id="rId18" Type="http://schemas.openxmlformats.org/officeDocument/2006/relationships/hyperlink" Target="mailto:wa7duh@sgsterling.com" TargetMode="External"/><Relationship Id="rId26" Type="http://schemas.openxmlformats.org/officeDocument/2006/relationships/hyperlink" Target="mailto:don.rand@gmail.com" TargetMode="External"/><Relationship Id="rId39" Type="http://schemas.openxmlformats.org/officeDocument/2006/relationships/hyperlink" Target="mailto:ka8spw@gmail.com" TargetMode="External"/><Relationship Id="rId3" Type="http://schemas.openxmlformats.org/officeDocument/2006/relationships/hyperlink" Target="mailto:cmorgan13@gmail.com" TargetMode="External"/><Relationship Id="rId21" Type="http://schemas.openxmlformats.org/officeDocument/2006/relationships/hyperlink" Target="mailto:jboehner01@yahoo.com" TargetMode="External"/><Relationship Id="rId34" Type="http://schemas.openxmlformats.org/officeDocument/2006/relationships/hyperlink" Target="mailto:george@NQ9N.com" TargetMode="External"/><Relationship Id="rId42" Type="http://schemas.openxmlformats.org/officeDocument/2006/relationships/hyperlink" Target="mailto:kvo@att.net" TargetMode="External"/><Relationship Id="rId47" Type="http://schemas.openxmlformats.org/officeDocument/2006/relationships/hyperlink" Target="mailto:fakrause@gmail.com" TargetMode="External"/><Relationship Id="rId7" Type="http://schemas.openxmlformats.org/officeDocument/2006/relationships/hyperlink" Target="mailto:warren@warrenvolz.com" TargetMode="External"/><Relationship Id="rId12" Type="http://schemas.openxmlformats.org/officeDocument/2006/relationships/hyperlink" Target="mailto:ron@panman.us" TargetMode="External"/><Relationship Id="rId17" Type="http://schemas.openxmlformats.org/officeDocument/2006/relationships/hyperlink" Target="mailto:w9dp@w9dp.us" TargetMode="External"/><Relationship Id="rId25" Type="http://schemas.openxmlformats.org/officeDocument/2006/relationships/hyperlink" Target="mailto:jasimmons@pinewooddata.com" TargetMode="External"/><Relationship Id="rId33" Type="http://schemas.openxmlformats.org/officeDocument/2006/relationships/hyperlink" Target="mailto:rpestinger@gmail.com" TargetMode="External"/><Relationship Id="rId38" Type="http://schemas.openxmlformats.org/officeDocument/2006/relationships/hyperlink" Target="mailto:norman.heyen@gmail.com" TargetMode="External"/><Relationship Id="rId46" Type="http://schemas.openxmlformats.org/officeDocument/2006/relationships/hyperlink" Target="mailto:lopeznoel956@gmail.com" TargetMode="External"/><Relationship Id="rId2" Type="http://schemas.openxmlformats.org/officeDocument/2006/relationships/hyperlink" Target="mailto:kd2ymm@gmail.com" TargetMode="External"/><Relationship Id="rId16" Type="http://schemas.openxmlformats.org/officeDocument/2006/relationships/hyperlink" Target="mailto:walterh@k5wh.net" TargetMode="External"/><Relationship Id="rId20" Type="http://schemas.openxmlformats.org/officeDocument/2006/relationships/hyperlink" Target="mailto:jsternmd@gmail.com" TargetMode="External"/><Relationship Id="rId29" Type="http://schemas.openxmlformats.org/officeDocument/2006/relationships/hyperlink" Target="mailto:ed@edireland.com" TargetMode="External"/><Relationship Id="rId41" Type="http://schemas.openxmlformats.org/officeDocument/2006/relationships/hyperlink" Target="mailto:w0mu@w0mu.com" TargetMode="External"/><Relationship Id="rId1" Type="http://schemas.openxmlformats.org/officeDocument/2006/relationships/hyperlink" Target="mailto:jjcamilli@hotmail.com" TargetMode="External"/><Relationship Id="rId6" Type="http://schemas.openxmlformats.org/officeDocument/2006/relationships/hyperlink" Target="mailto:clifford@millerlawoffices.us" TargetMode="External"/><Relationship Id="rId11" Type="http://schemas.openxmlformats.org/officeDocument/2006/relationships/hyperlink" Target="mailto:watts.hill@gmail.com" TargetMode="External"/><Relationship Id="rId24" Type="http://schemas.openxmlformats.org/officeDocument/2006/relationships/hyperlink" Target="mailto:Tomw3141@gmail.com" TargetMode="External"/><Relationship Id="rId32" Type="http://schemas.openxmlformats.org/officeDocument/2006/relationships/hyperlink" Target="mailto:purselley@gmail.com%20for%20paypal" TargetMode="External"/><Relationship Id="rId37" Type="http://schemas.openxmlformats.org/officeDocument/2006/relationships/hyperlink" Target="mailto:gphowell@icloud.com" TargetMode="External"/><Relationship Id="rId40" Type="http://schemas.openxmlformats.org/officeDocument/2006/relationships/hyperlink" Target="mailto:norman@schklar.com" TargetMode="External"/><Relationship Id="rId45" Type="http://schemas.openxmlformats.org/officeDocument/2006/relationships/hyperlink" Target="mailto:kd6not@verizon.net" TargetMode="External"/><Relationship Id="rId5" Type="http://schemas.openxmlformats.org/officeDocument/2006/relationships/hyperlink" Target="mailto:bret.wx7y@wx7y.net" TargetMode="External"/><Relationship Id="rId15" Type="http://schemas.openxmlformats.org/officeDocument/2006/relationships/hyperlink" Target="mailto:kw1m@outlook.com" TargetMode="External"/><Relationship Id="rId23" Type="http://schemas.openxmlformats.org/officeDocument/2006/relationships/hyperlink" Target="mailto:robin@tartanlatte.com" TargetMode="External"/><Relationship Id="rId28" Type="http://schemas.openxmlformats.org/officeDocument/2006/relationships/hyperlink" Target="mailto:n5ff@yahoo.com" TargetMode="External"/><Relationship Id="rId36" Type="http://schemas.openxmlformats.org/officeDocument/2006/relationships/hyperlink" Target="mailto:mplafleur@gmail.com" TargetMode="External"/><Relationship Id="rId10" Type="http://schemas.openxmlformats.org/officeDocument/2006/relationships/hyperlink" Target="mailto:jitters61@pm.me" TargetMode="External"/><Relationship Id="rId19" Type="http://schemas.openxmlformats.org/officeDocument/2006/relationships/hyperlink" Target="mailto:w0sz@comcast.net" TargetMode="External"/><Relationship Id="rId31" Type="http://schemas.openxmlformats.org/officeDocument/2006/relationships/hyperlink" Target="mailto:aa5un2020@gmail.com" TargetMode="External"/><Relationship Id="rId44" Type="http://schemas.openxmlformats.org/officeDocument/2006/relationships/hyperlink" Target="mailto:jerry.clouatre@gmail.com" TargetMode="External"/><Relationship Id="rId4" Type="http://schemas.openxmlformats.org/officeDocument/2006/relationships/hyperlink" Target="mailto:kirk.harding@k6kar.com" TargetMode="External"/><Relationship Id="rId9" Type="http://schemas.openxmlformats.org/officeDocument/2006/relationships/hyperlink" Target="mailto:vk5rr@vk5rr.com" TargetMode="External"/><Relationship Id="rId14" Type="http://schemas.openxmlformats.org/officeDocument/2006/relationships/hyperlink" Target="mailto:kautenmd@gmail.com" TargetMode="External"/><Relationship Id="rId22" Type="http://schemas.openxmlformats.org/officeDocument/2006/relationships/hyperlink" Target="mailto:don@thepezets.com" TargetMode="External"/><Relationship Id="rId27" Type="http://schemas.openxmlformats.org/officeDocument/2006/relationships/hyperlink" Target="mailto:wa5qpz@gmail.com" TargetMode="External"/><Relationship Id="rId30" Type="http://schemas.openxmlformats.org/officeDocument/2006/relationships/hyperlink" Target="mailto:kxkayser@gmail.com" TargetMode="External"/><Relationship Id="rId35" Type="http://schemas.openxmlformats.org/officeDocument/2006/relationships/hyperlink" Target="mailto:n4asa@yahoo.com" TargetMode="External"/><Relationship Id="rId43" Type="http://schemas.openxmlformats.org/officeDocument/2006/relationships/hyperlink" Target="mailto:chrislwhite93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krau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8E1D-2BEC-4BE3-B958-69684AC53D4C}">
  <dimension ref="A1:N51"/>
  <sheetViews>
    <sheetView topLeftCell="E28" workbookViewId="0">
      <selection activeCell="J50" sqref="J50"/>
    </sheetView>
  </sheetViews>
  <sheetFormatPr defaultRowHeight="16" x14ac:dyDescent="0.4"/>
  <cols>
    <col min="1" max="1" width="16.26953125" style="1" customWidth="1"/>
    <col min="2" max="2" width="9.6328125" style="1" bestFit="1" customWidth="1"/>
    <col min="3" max="4" width="13.6328125" style="4" customWidth="1"/>
    <col min="5" max="5" width="27.08984375" style="1" bestFit="1" customWidth="1"/>
    <col min="6" max="6" width="57" style="1" bestFit="1" customWidth="1"/>
    <col min="7" max="7" width="12.453125" style="1" bestFit="1" customWidth="1"/>
    <col min="8" max="8" width="13.81640625" style="1" bestFit="1" customWidth="1"/>
    <col min="9" max="9" width="10.6328125" style="1" customWidth="1"/>
    <col min="10" max="10" width="14.7265625" style="1" customWidth="1"/>
    <col min="11" max="11" width="8.36328125" style="1" customWidth="1"/>
    <col min="12" max="12" width="10.7265625" style="1" customWidth="1"/>
    <col min="13" max="13" width="9.36328125" style="1" customWidth="1"/>
    <col min="14" max="14" width="67.453125" style="1" customWidth="1"/>
    <col min="15" max="16384" width="8.7265625" style="1"/>
  </cols>
  <sheetData>
    <row r="1" spans="1:14" ht="26" x14ac:dyDescent="0.6">
      <c r="A1" s="15" t="s">
        <v>4</v>
      </c>
      <c r="E1" s="10" t="s">
        <v>159</v>
      </c>
      <c r="F1" s="11" t="s">
        <v>160</v>
      </c>
      <c r="G1" s="51" t="s">
        <v>218</v>
      </c>
      <c r="H1" s="12" t="s">
        <v>161</v>
      </c>
    </row>
    <row r="4" spans="1:14" s="3" customFormat="1" x14ac:dyDescent="0.4">
      <c r="A4" s="2" t="s">
        <v>0</v>
      </c>
      <c r="B4" s="2" t="s">
        <v>1</v>
      </c>
      <c r="C4" s="2" t="s">
        <v>2</v>
      </c>
      <c r="D4" s="2" t="s">
        <v>60</v>
      </c>
      <c r="E4" s="2" t="s">
        <v>15</v>
      </c>
      <c r="F4" s="2" t="s">
        <v>3</v>
      </c>
      <c r="G4" s="2" t="s">
        <v>8</v>
      </c>
      <c r="H4" s="2" t="s">
        <v>12</v>
      </c>
      <c r="I4" s="2" t="s">
        <v>103</v>
      </c>
      <c r="J4" s="2" t="s">
        <v>104</v>
      </c>
      <c r="K4" s="2" t="s">
        <v>9</v>
      </c>
      <c r="L4" s="2" t="s">
        <v>10</v>
      </c>
      <c r="M4" s="2" t="s">
        <v>11</v>
      </c>
    </row>
    <row r="5" spans="1:14" hidden="1" x14ac:dyDescent="0.4">
      <c r="A5" s="13" t="s">
        <v>5</v>
      </c>
      <c r="B5" s="13" t="s">
        <v>6</v>
      </c>
      <c r="C5" s="14">
        <v>2</v>
      </c>
      <c r="E5" s="7" t="s">
        <v>17</v>
      </c>
      <c r="F5" s="1" t="s">
        <v>7</v>
      </c>
      <c r="G5" s="5">
        <f>C5*5</f>
        <v>10</v>
      </c>
      <c r="H5" s="5">
        <v>0.5</v>
      </c>
      <c r="I5" s="5">
        <v>5.83</v>
      </c>
      <c r="J5" s="5">
        <f>G5+H5+I5</f>
        <v>16.329999999999998</v>
      </c>
      <c r="K5" s="9">
        <f>J5*0.0825</f>
        <v>1.3472249999999999</v>
      </c>
      <c r="L5" s="9">
        <f>(J5+K5)*0.05</f>
        <v>0.88386125000000004</v>
      </c>
      <c r="M5" s="9">
        <f>J5+K5+L5</f>
        <v>18.561086249999999</v>
      </c>
    </row>
    <row r="6" spans="1:14" x14ac:dyDescent="0.4">
      <c r="A6" s="1" t="s">
        <v>14</v>
      </c>
      <c r="B6" s="1" t="s">
        <v>13</v>
      </c>
      <c r="C6" s="14">
        <v>1</v>
      </c>
      <c r="D6" s="4">
        <v>1</v>
      </c>
      <c r="E6" s="6" t="s">
        <v>16</v>
      </c>
      <c r="F6" s="1" t="s">
        <v>18</v>
      </c>
      <c r="G6" s="5">
        <f>C6*5</f>
        <v>5</v>
      </c>
      <c r="H6" s="5">
        <v>0.5</v>
      </c>
      <c r="I6" s="5">
        <v>4.74</v>
      </c>
      <c r="J6" s="5">
        <f>G6+H6+I6</f>
        <v>10.24</v>
      </c>
      <c r="K6" s="9">
        <f>J6*0.0825</f>
        <v>0.84480000000000011</v>
      </c>
      <c r="L6" s="9">
        <f>(J6+K6)*0.05</f>
        <v>0.55423999999999995</v>
      </c>
      <c r="M6" s="9">
        <f>J6+K6+L6</f>
        <v>11.63904</v>
      </c>
    </row>
    <row r="7" spans="1:14" x14ac:dyDescent="0.4">
      <c r="A7" s="1" t="s">
        <v>19</v>
      </c>
      <c r="B7" s="1" t="s">
        <v>20</v>
      </c>
      <c r="C7" s="14">
        <v>2</v>
      </c>
      <c r="D7" s="4">
        <v>1</v>
      </c>
      <c r="E7" s="6" t="s">
        <v>21</v>
      </c>
      <c r="F7" s="1" t="s">
        <v>22</v>
      </c>
      <c r="G7" s="5">
        <f>5.8*Orders!C7</f>
        <v>11.6</v>
      </c>
      <c r="H7" s="5">
        <v>0.5</v>
      </c>
      <c r="I7" s="5">
        <v>5.34</v>
      </c>
      <c r="J7" s="5">
        <f t="shared" ref="J7:J43" si="0">G7+H7+I7</f>
        <v>17.439999999999998</v>
      </c>
      <c r="K7" s="9">
        <f t="shared" ref="K7:K43" si="1">J7*0.0825</f>
        <v>1.4387999999999999</v>
      </c>
      <c r="L7" s="9">
        <f t="shared" ref="L7:L43" si="2">(J7+K7)*0.05</f>
        <v>0.94394</v>
      </c>
      <c r="M7" s="9">
        <f t="shared" ref="M7:M43" si="3">J7+K7+L7</f>
        <v>19.82274</v>
      </c>
    </row>
    <row r="8" spans="1:14" x14ac:dyDescent="0.4">
      <c r="A8" s="1" t="s">
        <v>24</v>
      </c>
      <c r="B8" s="1" t="s">
        <v>23</v>
      </c>
      <c r="C8" s="4">
        <v>0</v>
      </c>
      <c r="D8" s="4">
        <v>1</v>
      </c>
      <c r="E8" s="6" t="s">
        <v>26</v>
      </c>
      <c r="F8" s="1" t="s">
        <v>25</v>
      </c>
      <c r="G8" s="5">
        <f>5.8*Orders!C8</f>
        <v>0</v>
      </c>
      <c r="H8" s="5">
        <v>0.5</v>
      </c>
      <c r="J8" s="5">
        <f t="shared" si="0"/>
        <v>0.5</v>
      </c>
      <c r="K8" s="9">
        <f t="shared" si="1"/>
        <v>4.1250000000000002E-2</v>
      </c>
      <c r="L8" s="9">
        <f t="shared" si="2"/>
        <v>2.7062500000000003E-2</v>
      </c>
      <c r="M8" s="9">
        <f t="shared" si="3"/>
        <v>0.5683125</v>
      </c>
      <c r="N8" s="1" t="s">
        <v>166</v>
      </c>
    </row>
    <row r="9" spans="1:14" hidden="1" x14ac:dyDescent="0.4">
      <c r="A9" s="13" t="s">
        <v>27</v>
      </c>
      <c r="B9" s="13" t="s">
        <v>28</v>
      </c>
      <c r="C9" s="52">
        <v>5</v>
      </c>
      <c r="D9" s="4">
        <v>0</v>
      </c>
      <c r="E9" s="6" t="s">
        <v>30</v>
      </c>
      <c r="F9" s="1" t="s">
        <v>29</v>
      </c>
      <c r="G9" s="5">
        <f>5.8*Orders!C9</f>
        <v>29</v>
      </c>
      <c r="H9" s="5">
        <v>1.5</v>
      </c>
      <c r="I9" s="5">
        <v>8.4600000000000009</v>
      </c>
      <c r="J9" s="5">
        <f t="shared" si="0"/>
        <v>38.96</v>
      </c>
      <c r="K9" s="9">
        <f t="shared" si="1"/>
        <v>3.2142000000000004</v>
      </c>
      <c r="L9" s="9">
        <f t="shared" si="2"/>
        <v>2.1087099999999999</v>
      </c>
      <c r="M9" s="9">
        <f t="shared" si="3"/>
        <v>44.282910000000001</v>
      </c>
    </row>
    <row r="10" spans="1:14" x14ac:dyDescent="0.4">
      <c r="A10" s="1" t="s">
        <v>31</v>
      </c>
      <c r="B10" s="1" t="s">
        <v>32</v>
      </c>
      <c r="C10" s="14">
        <v>1</v>
      </c>
      <c r="D10" s="4">
        <v>1</v>
      </c>
      <c r="E10" s="6" t="s">
        <v>33</v>
      </c>
      <c r="F10" s="1" t="s">
        <v>34</v>
      </c>
      <c r="G10" s="5">
        <f>5.8*Orders!C10</f>
        <v>5.8</v>
      </c>
      <c r="H10" s="5">
        <v>0.5</v>
      </c>
      <c r="I10" s="5">
        <v>4.41</v>
      </c>
      <c r="J10" s="5">
        <f t="shared" si="0"/>
        <v>10.71</v>
      </c>
      <c r="K10" s="9">
        <f t="shared" si="1"/>
        <v>0.88357500000000011</v>
      </c>
      <c r="L10" s="9">
        <f t="shared" si="2"/>
        <v>0.57967875000000013</v>
      </c>
      <c r="M10" s="9">
        <f t="shared" si="3"/>
        <v>12.173253750000001</v>
      </c>
    </row>
    <row r="11" spans="1:14" hidden="1" x14ac:dyDescent="0.4">
      <c r="A11" s="1" t="s">
        <v>35</v>
      </c>
      <c r="B11" s="1" t="s">
        <v>37</v>
      </c>
      <c r="C11" s="4">
        <v>1</v>
      </c>
      <c r="D11" s="4">
        <v>0</v>
      </c>
      <c r="E11" s="6" t="s">
        <v>38</v>
      </c>
      <c r="F11" s="1" t="s">
        <v>36</v>
      </c>
      <c r="G11" s="5">
        <f>5.8*Orders!C11</f>
        <v>5.8</v>
      </c>
      <c r="H11" s="5">
        <v>0.5</v>
      </c>
      <c r="I11" s="5">
        <v>4.74</v>
      </c>
      <c r="J11" s="5">
        <f t="shared" si="0"/>
        <v>11.04</v>
      </c>
      <c r="K11" s="9">
        <f t="shared" si="1"/>
        <v>0.91079999999999994</v>
      </c>
      <c r="L11" s="9">
        <f t="shared" si="2"/>
        <v>0.59753999999999996</v>
      </c>
      <c r="M11" s="9">
        <f t="shared" si="3"/>
        <v>12.54834</v>
      </c>
    </row>
    <row r="12" spans="1:14" x14ac:dyDescent="0.4">
      <c r="A12" s="1" t="s">
        <v>42</v>
      </c>
      <c r="B12" s="1" t="s">
        <v>39</v>
      </c>
      <c r="C12" s="14">
        <v>1</v>
      </c>
      <c r="D12" s="4">
        <v>1</v>
      </c>
      <c r="E12" s="6" t="s">
        <v>41</v>
      </c>
      <c r="F12" s="1" t="s">
        <v>40</v>
      </c>
      <c r="G12" s="5">
        <f>5.8*Orders!C12</f>
        <v>5.8</v>
      </c>
      <c r="H12" s="5">
        <v>0.5</v>
      </c>
      <c r="I12" s="5">
        <v>4.74</v>
      </c>
      <c r="J12" s="5">
        <f t="shared" si="0"/>
        <v>11.04</v>
      </c>
      <c r="K12" s="9">
        <f t="shared" si="1"/>
        <v>0.91079999999999994</v>
      </c>
      <c r="L12" s="9">
        <f t="shared" si="2"/>
        <v>0.59753999999999996</v>
      </c>
      <c r="M12" s="9">
        <f t="shared" si="3"/>
        <v>12.54834</v>
      </c>
    </row>
    <row r="13" spans="1:14" x14ac:dyDescent="0.4">
      <c r="A13" s="1" t="s">
        <v>44</v>
      </c>
      <c r="B13" s="1" t="s">
        <v>43</v>
      </c>
      <c r="C13" s="4">
        <v>0</v>
      </c>
      <c r="D13" s="4">
        <v>2</v>
      </c>
      <c r="E13" s="6" t="s">
        <v>45</v>
      </c>
      <c r="F13" s="1" t="s">
        <v>50</v>
      </c>
      <c r="G13" s="5">
        <f>5.8*Orders!C13</f>
        <v>0</v>
      </c>
      <c r="H13" s="5">
        <v>0.5</v>
      </c>
      <c r="J13" s="5">
        <f t="shared" si="0"/>
        <v>0.5</v>
      </c>
      <c r="K13" s="9">
        <f t="shared" si="1"/>
        <v>4.1250000000000002E-2</v>
      </c>
      <c r="L13" s="9">
        <f t="shared" si="2"/>
        <v>2.7062500000000003E-2</v>
      </c>
      <c r="M13" s="9">
        <f t="shared" si="3"/>
        <v>0.5683125</v>
      </c>
      <c r="N13" s="1" t="s">
        <v>51</v>
      </c>
    </row>
    <row r="14" spans="1:14" hidden="1" x14ac:dyDescent="0.4">
      <c r="A14" s="13" t="s">
        <v>47</v>
      </c>
      <c r="B14" s="13" t="s">
        <v>49</v>
      </c>
      <c r="C14" s="14">
        <v>2</v>
      </c>
      <c r="D14" s="4">
        <v>0</v>
      </c>
      <c r="E14" s="6" t="s">
        <v>188</v>
      </c>
      <c r="F14" s="1" t="s">
        <v>48</v>
      </c>
      <c r="G14" s="5">
        <f>5.8*Orders!C14</f>
        <v>11.6</v>
      </c>
      <c r="H14" s="5">
        <v>0.5</v>
      </c>
      <c r="I14" s="5">
        <v>4.8899999999999997</v>
      </c>
      <c r="J14" s="5">
        <f t="shared" si="0"/>
        <v>16.989999999999998</v>
      </c>
      <c r="K14" s="9">
        <f t="shared" si="1"/>
        <v>1.401675</v>
      </c>
      <c r="L14" s="9">
        <f t="shared" si="2"/>
        <v>0.91958375000000003</v>
      </c>
      <c r="M14" s="9">
        <f t="shared" si="3"/>
        <v>19.31125875</v>
      </c>
      <c r="N14" s="8"/>
    </row>
    <row r="15" spans="1:14" x14ac:dyDescent="0.4">
      <c r="A15" s="1" t="s">
        <v>52</v>
      </c>
      <c r="B15" s="1" t="s">
        <v>53</v>
      </c>
      <c r="C15" s="14">
        <v>1</v>
      </c>
      <c r="D15" s="4">
        <v>1</v>
      </c>
      <c r="E15" s="6" t="s">
        <v>55</v>
      </c>
      <c r="F15" s="1" t="s">
        <v>54</v>
      </c>
      <c r="G15" s="5">
        <f>5.8*Orders!C15</f>
        <v>5.8</v>
      </c>
      <c r="H15" s="5">
        <v>0.5</v>
      </c>
      <c r="I15" s="5">
        <v>4.8</v>
      </c>
      <c r="J15" s="5">
        <f t="shared" si="0"/>
        <v>11.1</v>
      </c>
      <c r="K15" s="9">
        <f t="shared" si="1"/>
        <v>0.91575000000000006</v>
      </c>
      <c r="L15" s="9">
        <f t="shared" si="2"/>
        <v>0.60078750000000003</v>
      </c>
      <c r="M15" s="9">
        <f t="shared" si="3"/>
        <v>12.6165375</v>
      </c>
    </row>
    <row r="16" spans="1:14" hidden="1" x14ac:dyDescent="0.4">
      <c r="A16" s="13" t="s">
        <v>56</v>
      </c>
      <c r="B16" s="13" t="s">
        <v>57</v>
      </c>
      <c r="C16" s="52">
        <v>5</v>
      </c>
      <c r="D16" s="4">
        <v>0</v>
      </c>
      <c r="E16" s="6" t="s">
        <v>59</v>
      </c>
      <c r="F16" s="1" t="s">
        <v>58</v>
      </c>
      <c r="G16" s="5">
        <f>5.8*Orders!C16</f>
        <v>29</v>
      </c>
      <c r="H16" s="5">
        <v>1.5</v>
      </c>
      <c r="I16" s="5">
        <v>8.6300000000000008</v>
      </c>
      <c r="J16" s="5">
        <f t="shared" si="0"/>
        <v>39.130000000000003</v>
      </c>
      <c r="K16" s="9">
        <f t="shared" si="1"/>
        <v>3.2282250000000006</v>
      </c>
      <c r="L16" s="9">
        <f t="shared" si="2"/>
        <v>2.1179112500000001</v>
      </c>
      <c r="M16" s="9">
        <f t="shared" si="3"/>
        <v>44.476136250000003</v>
      </c>
    </row>
    <row r="17" spans="1:14" x14ac:dyDescent="0.4">
      <c r="A17" s="1" t="s">
        <v>61</v>
      </c>
      <c r="B17" s="1" t="s">
        <v>63</v>
      </c>
      <c r="C17" s="4">
        <v>0</v>
      </c>
      <c r="D17" s="4">
        <v>1</v>
      </c>
      <c r="E17" s="6" t="s">
        <v>62</v>
      </c>
      <c r="F17" s="1" t="s">
        <v>46</v>
      </c>
      <c r="G17" s="5">
        <f>5.8*Orders!C17</f>
        <v>0</v>
      </c>
      <c r="H17" s="5">
        <v>0.5</v>
      </c>
      <c r="J17" s="5">
        <f t="shared" si="0"/>
        <v>0.5</v>
      </c>
      <c r="K17" s="9">
        <f t="shared" si="1"/>
        <v>4.1250000000000002E-2</v>
      </c>
      <c r="L17" s="9">
        <f t="shared" si="2"/>
        <v>2.7062500000000003E-2</v>
      </c>
      <c r="M17" s="9">
        <f t="shared" si="3"/>
        <v>0.5683125</v>
      </c>
    </row>
    <row r="18" spans="1:14" x14ac:dyDescent="0.4">
      <c r="A18" s="1" t="s">
        <v>64</v>
      </c>
      <c r="B18" s="1" t="s">
        <v>65</v>
      </c>
      <c r="C18" s="4">
        <v>0</v>
      </c>
      <c r="D18" s="4">
        <v>1</v>
      </c>
      <c r="E18" s="6" t="s">
        <v>66</v>
      </c>
      <c r="F18" s="1" t="s">
        <v>118</v>
      </c>
      <c r="G18" s="5">
        <f>5.8*Orders!C18</f>
        <v>0</v>
      </c>
      <c r="H18" s="5">
        <v>0.5</v>
      </c>
      <c r="J18" s="5">
        <f t="shared" si="0"/>
        <v>0.5</v>
      </c>
      <c r="K18" s="9">
        <f t="shared" si="1"/>
        <v>4.1250000000000002E-2</v>
      </c>
      <c r="L18" s="9">
        <f t="shared" si="2"/>
        <v>2.7062500000000003E-2</v>
      </c>
      <c r="M18" s="9">
        <f t="shared" si="3"/>
        <v>0.5683125</v>
      </c>
    </row>
    <row r="19" spans="1:14" x14ac:dyDescent="0.4">
      <c r="A19" s="1" t="s">
        <v>67</v>
      </c>
      <c r="B19" s="1" t="s">
        <v>68</v>
      </c>
      <c r="C19" s="4">
        <v>0</v>
      </c>
      <c r="D19" s="4">
        <v>1</v>
      </c>
      <c r="E19" s="6" t="s">
        <v>69</v>
      </c>
      <c r="F19" s="1" t="s">
        <v>105</v>
      </c>
      <c r="G19" s="5">
        <f>5.8*Orders!C19</f>
        <v>0</v>
      </c>
      <c r="H19" s="5">
        <v>0.5</v>
      </c>
      <c r="J19" s="5">
        <f t="shared" si="0"/>
        <v>0.5</v>
      </c>
      <c r="K19" s="9">
        <f t="shared" si="1"/>
        <v>4.1250000000000002E-2</v>
      </c>
      <c r="L19" s="9">
        <f t="shared" si="2"/>
        <v>2.7062500000000003E-2</v>
      </c>
      <c r="M19" s="9">
        <f t="shared" si="3"/>
        <v>0.5683125</v>
      </c>
    </row>
    <row r="20" spans="1:14" x14ac:dyDescent="0.4">
      <c r="A20" s="1" t="s">
        <v>72</v>
      </c>
      <c r="B20" s="1" t="s">
        <v>71</v>
      </c>
      <c r="C20" s="4">
        <v>0</v>
      </c>
      <c r="D20" s="4">
        <v>3</v>
      </c>
      <c r="E20" s="6" t="s">
        <v>70</v>
      </c>
      <c r="F20" s="1" t="s">
        <v>89</v>
      </c>
      <c r="G20" s="5">
        <f>5.8*Orders!C20</f>
        <v>0</v>
      </c>
      <c r="H20" s="5">
        <v>0.5</v>
      </c>
      <c r="J20" s="5">
        <f t="shared" si="0"/>
        <v>0.5</v>
      </c>
      <c r="K20" s="9">
        <f t="shared" si="1"/>
        <v>4.1250000000000002E-2</v>
      </c>
      <c r="L20" s="9">
        <f t="shared" si="2"/>
        <v>2.7062500000000003E-2</v>
      </c>
      <c r="M20" s="9">
        <f t="shared" si="3"/>
        <v>0.5683125</v>
      </c>
    </row>
    <row r="21" spans="1:14" hidden="1" x14ac:dyDescent="0.4">
      <c r="A21" s="13" t="s">
        <v>73</v>
      </c>
      <c r="B21" s="13" t="s">
        <v>74</v>
      </c>
      <c r="C21" s="14">
        <v>1</v>
      </c>
      <c r="D21" s="4">
        <v>0</v>
      </c>
      <c r="E21" s="6" t="s">
        <v>75</v>
      </c>
      <c r="F21" s="1" t="s">
        <v>223</v>
      </c>
      <c r="G21" s="5">
        <f>5.8*Orders!C21</f>
        <v>5.8</v>
      </c>
      <c r="H21" s="5">
        <v>0.5</v>
      </c>
      <c r="I21" s="5">
        <v>4.91</v>
      </c>
      <c r="J21" s="5">
        <f t="shared" si="0"/>
        <v>11.21</v>
      </c>
      <c r="K21" s="9">
        <f t="shared" si="1"/>
        <v>0.92482500000000012</v>
      </c>
      <c r="L21" s="9">
        <f t="shared" si="2"/>
        <v>0.60674125000000012</v>
      </c>
      <c r="M21" s="9">
        <f t="shared" si="3"/>
        <v>12.741566250000002</v>
      </c>
    </row>
    <row r="22" spans="1:14" x14ac:dyDescent="0.4">
      <c r="A22" s="1" t="s">
        <v>76</v>
      </c>
      <c r="B22" s="1" t="s">
        <v>77</v>
      </c>
      <c r="C22" s="14">
        <v>2</v>
      </c>
      <c r="D22" s="4">
        <v>2</v>
      </c>
      <c r="E22" s="6" t="s">
        <v>78</v>
      </c>
      <c r="F22" s="1" t="s">
        <v>217</v>
      </c>
      <c r="G22" s="5">
        <f>5.8*Orders!C22</f>
        <v>11.6</v>
      </c>
      <c r="H22" s="5">
        <v>0.5</v>
      </c>
      <c r="I22" s="1">
        <v>5.83</v>
      </c>
      <c r="J22" s="5">
        <f t="shared" si="0"/>
        <v>17.93</v>
      </c>
      <c r="K22" s="9">
        <f t="shared" si="1"/>
        <v>1.479225</v>
      </c>
      <c r="L22" s="9">
        <f t="shared" si="2"/>
        <v>0.97046125000000005</v>
      </c>
      <c r="M22" s="9">
        <f t="shared" si="3"/>
        <v>20.379686249999999</v>
      </c>
    </row>
    <row r="23" spans="1:14" x14ac:dyDescent="0.4">
      <c r="A23" s="1" t="s">
        <v>81</v>
      </c>
      <c r="B23" s="1" t="s">
        <v>79</v>
      </c>
      <c r="C23" s="4">
        <v>0</v>
      </c>
      <c r="D23" s="4">
        <v>2</v>
      </c>
      <c r="E23" s="6" t="s">
        <v>82</v>
      </c>
      <c r="F23" s="1" t="s">
        <v>80</v>
      </c>
      <c r="G23" s="5">
        <f>5.8*Orders!C23</f>
        <v>0</v>
      </c>
      <c r="H23" s="5">
        <v>0.5</v>
      </c>
      <c r="J23" s="5">
        <f t="shared" si="0"/>
        <v>0.5</v>
      </c>
      <c r="K23" s="9">
        <f t="shared" si="1"/>
        <v>4.1250000000000002E-2</v>
      </c>
      <c r="L23" s="9">
        <f t="shared" si="2"/>
        <v>2.7062500000000003E-2</v>
      </c>
      <c r="M23" s="9">
        <f t="shared" si="3"/>
        <v>0.5683125</v>
      </c>
    </row>
    <row r="24" spans="1:14" hidden="1" x14ac:dyDescent="0.4">
      <c r="A24" s="1" t="s">
        <v>84</v>
      </c>
      <c r="B24" s="1" t="s">
        <v>83</v>
      </c>
      <c r="C24" s="4">
        <v>0</v>
      </c>
      <c r="D24" s="4">
        <v>0</v>
      </c>
      <c r="E24" s="6" t="s">
        <v>88</v>
      </c>
      <c r="F24" s="1" t="s">
        <v>46</v>
      </c>
      <c r="G24" s="5">
        <f>5.8*Orders!C24</f>
        <v>0</v>
      </c>
      <c r="H24" s="5">
        <v>0.5</v>
      </c>
      <c r="J24" s="5">
        <f t="shared" si="0"/>
        <v>0.5</v>
      </c>
      <c r="K24" s="9">
        <f t="shared" si="1"/>
        <v>4.1250000000000002E-2</v>
      </c>
      <c r="L24" s="9">
        <f t="shared" si="2"/>
        <v>2.7062500000000003E-2</v>
      </c>
      <c r="M24" s="9">
        <f t="shared" si="3"/>
        <v>0.5683125</v>
      </c>
    </row>
    <row r="25" spans="1:14" ht="15.5" customHeight="1" x14ac:dyDescent="0.4">
      <c r="A25" s="1" t="s">
        <v>87</v>
      </c>
      <c r="B25" s="1" t="s">
        <v>85</v>
      </c>
      <c r="C25" s="14">
        <v>2</v>
      </c>
      <c r="D25" s="4">
        <v>1</v>
      </c>
      <c r="E25" s="6" t="s">
        <v>86</v>
      </c>
      <c r="F25" s="1" t="s">
        <v>187</v>
      </c>
      <c r="G25" s="5">
        <f>5.8*Orders!C25</f>
        <v>11.6</v>
      </c>
      <c r="H25" s="5">
        <v>0.5</v>
      </c>
      <c r="I25" s="5">
        <v>5.83</v>
      </c>
      <c r="J25" s="5">
        <f t="shared" si="0"/>
        <v>17.93</v>
      </c>
      <c r="K25" s="9">
        <f t="shared" si="1"/>
        <v>1.479225</v>
      </c>
      <c r="L25" s="9">
        <f t="shared" si="2"/>
        <v>0.97046125000000005</v>
      </c>
      <c r="M25" s="9">
        <f t="shared" si="3"/>
        <v>20.379686249999999</v>
      </c>
    </row>
    <row r="26" spans="1:14" x14ac:dyDescent="0.4">
      <c r="A26" s="1" t="s">
        <v>91</v>
      </c>
      <c r="B26" s="1" t="s">
        <v>90</v>
      </c>
      <c r="C26" s="4">
        <v>0</v>
      </c>
      <c r="D26" s="4">
        <v>1</v>
      </c>
      <c r="E26" s="6" t="s">
        <v>92</v>
      </c>
      <c r="F26" s="1" t="s">
        <v>46</v>
      </c>
      <c r="G26" s="5">
        <f>5.8*Orders!C26</f>
        <v>0</v>
      </c>
      <c r="H26" s="5">
        <v>0.5</v>
      </c>
      <c r="J26" s="5">
        <f t="shared" si="0"/>
        <v>0.5</v>
      </c>
      <c r="K26" s="9">
        <f t="shared" si="1"/>
        <v>4.1250000000000002E-2</v>
      </c>
      <c r="L26" s="9">
        <f t="shared" si="2"/>
        <v>2.7062500000000003E-2</v>
      </c>
      <c r="M26" s="9">
        <f t="shared" si="3"/>
        <v>0.5683125</v>
      </c>
    </row>
    <row r="27" spans="1:14" hidden="1" x14ac:dyDescent="0.4">
      <c r="A27" s="13" t="s">
        <v>95</v>
      </c>
      <c r="B27" s="13" t="s">
        <v>94</v>
      </c>
      <c r="C27" s="14">
        <v>2</v>
      </c>
      <c r="D27" s="4">
        <v>0</v>
      </c>
      <c r="E27" s="6" t="s">
        <v>93</v>
      </c>
      <c r="F27" s="1" t="s">
        <v>189</v>
      </c>
      <c r="G27" s="5">
        <f>5.8*Orders!C27</f>
        <v>11.6</v>
      </c>
      <c r="H27" s="5">
        <v>0.5</v>
      </c>
      <c r="I27" s="5">
        <v>6.02</v>
      </c>
      <c r="J27" s="5">
        <f t="shared" si="0"/>
        <v>18.119999999999997</v>
      </c>
      <c r="K27" s="9">
        <f t="shared" si="1"/>
        <v>1.4948999999999999</v>
      </c>
      <c r="L27" s="9">
        <f t="shared" si="2"/>
        <v>0.98074499999999998</v>
      </c>
      <c r="M27" s="9">
        <f t="shared" si="3"/>
        <v>20.595644999999998</v>
      </c>
    </row>
    <row r="28" spans="1:14" x14ac:dyDescent="0.4">
      <c r="A28" s="1" t="s">
        <v>98</v>
      </c>
      <c r="B28" s="1" t="s">
        <v>96</v>
      </c>
      <c r="C28" s="4">
        <v>0</v>
      </c>
      <c r="D28" s="4">
        <v>1</v>
      </c>
      <c r="E28" s="6" t="s">
        <v>97</v>
      </c>
      <c r="F28" s="1" t="s">
        <v>46</v>
      </c>
      <c r="G28" s="5">
        <f>5.8*Orders!C28</f>
        <v>0</v>
      </c>
      <c r="H28" s="5">
        <v>0.5</v>
      </c>
      <c r="J28" s="5">
        <f t="shared" si="0"/>
        <v>0.5</v>
      </c>
      <c r="K28" s="9">
        <f t="shared" si="1"/>
        <v>4.1250000000000002E-2</v>
      </c>
      <c r="L28" s="9">
        <f t="shared" si="2"/>
        <v>2.7062500000000003E-2</v>
      </c>
      <c r="M28" s="9">
        <f t="shared" si="3"/>
        <v>0.5683125</v>
      </c>
    </row>
    <row r="29" spans="1:14" hidden="1" x14ac:dyDescent="0.4">
      <c r="A29" s="13" t="s">
        <v>102</v>
      </c>
      <c r="B29" s="13" t="s">
        <v>99</v>
      </c>
      <c r="C29" s="14">
        <v>1</v>
      </c>
      <c r="D29" s="4">
        <v>0</v>
      </c>
      <c r="E29" s="6" t="s">
        <v>101</v>
      </c>
      <c r="F29" s="1" t="s">
        <v>100</v>
      </c>
      <c r="G29" s="5">
        <f>5.8*Orders!C29</f>
        <v>5.8</v>
      </c>
      <c r="H29" s="5">
        <v>0.5</v>
      </c>
      <c r="I29" s="5">
        <v>4.97</v>
      </c>
      <c r="J29" s="5">
        <f t="shared" si="0"/>
        <v>11.27</v>
      </c>
      <c r="K29" s="9">
        <f t="shared" si="1"/>
        <v>0.92977500000000002</v>
      </c>
      <c r="L29" s="9">
        <f t="shared" si="2"/>
        <v>0.60998874999999997</v>
      </c>
      <c r="M29" s="9">
        <f t="shared" si="3"/>
        <v>12.809763749999998</v>
      </c>
      <c r="N29" s="1" t="s">
        <v>180</v>
      </c>
    </row>
    <row r="30" spans="1:14" hidden="1" x14ac:dyDescent="0.4">
      <c r="A30" s="1" t="s">
        <v>107</v>
      </c>
      <c r="B30" s="1" t="s">
        <v>106</v>
      </c>
      <c r="C30" s="4">
        <v>0</v>
      </c>
      <c r="D30" s="4">
        <v>0</v>
      </c>
      <c r="E30" s="6" t="s">
        <v>108</v>
      </c>
      <c r="F30" s="1" t="s">
        <v>109</v>
      </c>
      <c r="G30" s="5">
        <f>5.8*Orders!C30</f>
        <v>0</v>
      </c>
      <c r="H30" s="5">
        <v>0.5</v>
      </c>
      <c r="J30" s="5">
        <f t="shared" si="0"/>
        <v>0.5</v>
      </c>
      <c r="K30" s="9">
        <f t="shared" si="1"/>
        <v>4.1250000000000002E-2</v>
      </c>
      <c r="L30" s="9">
        <f t="shared" si="2"/>
        <v>2.7062500000000003E-2</v>
      </c>
      <c r="M30" s="9">
        <f t="shared" si="3"/>
        <v>0.5683125</v>
      </c>
    </row>
    <row r="31" spans="1:14" x14ac:dyDescent="0.4">
      <c r="A31" s="1" t="s">
        <v>110</v>
      </c>
      <c r="B31" s="1" t="s">
        <v>111</v>
      </c>
      <c r="C31" s="4">
        <v>0</v>
      </c>
      <c r="D31" s="4">
        <v>2</v>
      </c>
      <c r="E31" s="6" t="s">
        <v>113</v>
      </c>
      <c r="F31" s="1" t="s">
        <v>112</v>
      </c>
      <c r="G31" s="5">
        <f>5.8*Orders!C31</f>
        <v>0</v>
      </c>
      <c r="H31" s="5">
        <v>0.5</v>
      </c>
      <c r="J31" s="5">
        <f t="shared" si="0"/>
        <v>0.5</v>
      </c>
      <c r="K31" s="9">
        <f t="shared" si="1"/>
        <v>4.1250000000000002E-2</v>
      </c>
      <c r="L31" s="9">
        <f t="shared" si="2"/>
        <v>2.7062500000000003E-2</v>
      </c>
      <c r="M31" s="9">
        <f t="shared" si="3"/>
        <v>0.5683125</v>
      </c>
    </row>
    <row r="32" spans="1:14" hidden="1" x14ac:dyDescent="0.4">
      <c r="A32" s="13" t="s">
        <v>114</v>
      </c>
      <c r="B32" s="13" t="s">
        <v>115</v>
      </c>
      <c r="C32" s="14">
        <v>2</v>
      </c>
      <c r="D32" s="4">
        <v>0</v>
      </c>
      <c r="E32" s="6" t="s">
        <v>116</v>
      </c>
      <c r="F32" s="1" t="s">
        <v>117</v>
      </c>
      <c r="G32" s="5">
        <f>5.8*Orders!C32</f>
        <v>11.6</v>
      </c>
      <c r="H32" s="5">
        <v>0.5</v>
      </c>
      <c r="I32" s="5">
        <v>5.34</v>
      </c>
      <c r="J32" s="5">
        <f t="shared" si="0"/>
        <v>17.439999999999998</v>
      </c>
      <c r="K32" s="9">
        <f t="shared" si="1"/>
        <v>1.4387999999999999</v>
      </c>
      <c r="L32" s="9">
        <f t="shared" si="2"/>
        <v>0.94394</v>
      </c>
      <c r="M32" s="9">
        <f t="shared" si="3"/>
        <v>19.82274</v>
      </c>
    </row>
    <row r="33" spans="1:14" x14ac:dyDescent="0.4">
      <c r="A33" s="1" t="s">
        <v>121</v>
      </c>
      <c r="B33" s="1" t="s">
        <v>119</v>
      </c>
      <c r="C33" s="4">
        <v>0</v>
      </c>
      <c r="D33" s="4">
        <v>1</v>
      </c>
      <c r="E33" s="6" t="s">
        <v>122</v>
      </c>
      <c r="F33" s="1" t="s">
        <v>120</v>
      </c>
      <c r="G33" s="5">
        <f>5.8*Orders!C33</f>
        <v>0</v>
      </c>
      <c r="H33" s="5">
        <v>0.5</v>
      </c>
      <c r="J33" s="5">
        <f t="shared" si="0"/>
        <v>0.5</v>
      </c>
      <c r="K33" s="9">
        <f t="shared" si="1"/>
        <v>4.1250000000000002E-2</v>
      </c>
      <c r="L33" s="9">
        <f t="shared" si="2"/>
        <v>2.7062500000000003E-2</v>
      </c>
      <c r="M33" s="9">
        <f t="shared" si="3"/>
        <v>0.5683125</v>
      </c>
    </row>
    <row r="34" spans="1:14" hidden="1" x14ac:dyDescent="0.4">
      <c r="A34" s="13" t="s">
        <v>123</v>
      </c>
      <c r="B34" s="13" t="s">
        <v>125</v>
      </c>
      <c r="C34" s="14">
        <v>1</v>
      </c>
      <c r="D34" s="4">
        <v>0</v>
      </c>
      <c r="E34" s="6" t="s">
        <v>126</v>
      </c>
      <c r="F34" s="1" t="s">
        <v>124</v>
      </c>
      <c r="G34" s="5">
        <f>5.8*Orders!C34</f>
        <v>5.8</v>
      </c>
      <c r="H34" s="5">
        <v>0.5</v>
      </c>
      <c r="I34" s="5">
        <v>4.8</v>
      </c>
      <c r="J34" s="5">
        <f t="shared" si="0"/>
        <v>11.1</v>
      </c>
      <c r="K34" s="9">
        <f t="shared" si="1"/>
        <v>0.91575000000000006</v>
      </c>
      <c r="L34" s="9">
        <f t="shared" si="2"/>
        <v>0.60078750000000003</v>
      </c>
      <c r="M34" s="9">
        <f t="shared" si="3"/>
        <v>12.6165375</v>
      </c>
    </row>
    <row r="35" spans="1:14" x14ac:dyDescent="0.4">
      <c r="A35" s="1" t="s">
        <v>131</v>
      </c>
      <c r="B35" s="1" t="s">
        <v>127</v>
      </c>
      <c r="C35" s="4">
        <v>0</v>
      </c>
      <c r="D35" s="4">
        <v>1</v>
      </c>
      <c r="E35" s="6" t="s">
        <v>128</v>
      </c>
      <c r="F35" s="1" t="s">
        <v>129</v>
      </c>
      <c r="G35" s="5">
        <f>5.8*Orders!C35</f>
        <v>0</v>
      </c>
      <c r="H35" s="5">
        <v>0.5</v>
      </c>
      <c r="J35" s="5">
        <f t="shared" si="0"/>
        <v>0.5</v>
      </c>
      <c r="K35" s="9">
        <f t="shared" si="1"/>
        <v>4.1250000000000002E-2</v>
      </c>
      <c r="L35" s="9">
        <f t="shared" si="2"/>
        <v>2.7062500000000003E-2</v>
      </c>
      <c r="M35" s="9">
        <f t="shared" si="3"/>
        <v>0.5683125</v>
      </c>
      <c r="N35" s="6" t="s">
        <v>130</v>
      </c>
    </row>
    <row r="36" spans="1:14" hidden="1" x14ac:dyDescent="0.4">
      <c r="A36" s="1" t="s">
        <v>133</v>
      </c>
      <c r="B36" s="1" t="s">
        <v>132</v>
      </c>
      <c r="C36" s="14">
        <v>1</v>
      </c>
      <c r="D36" s="4">
        <v>0</v>
      </c>
      <c r="E36" s="6" t="s">
        <v>134</v>
      </c>
      <c r="F36" s="1" t="s">
        <v>224</v>
      </c>
      <c r="G36" s="5">
        <f>5.8*Orders!C36</f>
        <v>5.8</v>
      </c>
      <c r="H36" s="5">
        <v>0.5</v>
      </c>
      <c r="I36" s="5">
        <v>4.74</v>
      </c>
      <c r="J36" s="5">
        <f t="shared" si="0"/>
        <v>11.04</v>
      </c>
      <c r="K36" s="9">
        <f t="shared" si="1"/>
        <v>0.91079999999999994</v>
      </c>
      <c r="L36" s="9">
        <f t="shared" si="2"/>
        <v>0.59753999999999996</v>
      </c>
      <c r="M36" s="9">
        <f t="shared" si="3"/>
        <v>12.54834</v>
      </c>
    </row>
    <row r="37" spans="1:14" x14ac:dyDescent="0.4">
      <c r="A37" s="1" t="s">
        <v>162</v>
      </c>
      <c r="B37" s="1" t="s">
        <v>135</v>
      </c>
      <c r="C37" s="4">
        <v>0</v>
      </c>
      <c r="D37" s="4">
        <v>2</v>
      </c>
      <c r="E37" s="6" t="s">
        <v>136</v>
      </c>
      <c r="F37" s="1" t="s">
        <v>46</v>
      </c>
      <c r="G37" s="5">
        <f>5.8*Orders!C37</f>
        <v>0</v>
      </c>
      <c r="H37" s="5">
        <v>0.5</v>
      </c>
      <c r="J37" s="5">
        <f t="shared" si="0"/>
        <v>0.5</v>
      </c>
      <c r="K37" s="9">
        <f t="shared" si="1"/>
        <v>4.1250000000000002E-2</v>
      </c>
      <c r="L37" s="9">
        <f t="shared" si="2"/>
        <v>2.7062500000000003E-2</v>
      </c>
      <c r="M37" s="9">
        <f t="shared" si="3"/>
        <v>0.5683125</v>
      </c>
    </row>
    <row r="38" spans="1:14" hidden="1" x14ac:dyDescent="0.4">
      <c r="A38" s="1" t="s">
        <v>137</v>
      </c>
      <c r="B38" s="1" t="s">
        <v>138</v>
      </c>
      <c r="C38" s="14">
        <v>2</v>
      </c>
      <c r="D38" s="4">
        <v>0</v>
      </c>
      <c r="E38" s="6" t="s">
        <v>139</v>
      </c>
      <c r="F38" s="1" t="s">
        <v>140</v>
      </c>
      <c r="G38" s="5">
        <f>5.8*Orders!C38</f>
        <v>11.6</v>
      </c>
      <c r="H38" s="5">
        <v>0.5</v>
      </c>
      <c r="I38" s="5">
        <v>5.83</v>
      </c>
      <c r="J38" s="5">
        <f t="shared" si="0"/>
        <v>17.93</v>
      </c>
      <c r="K38" s="9">
        <f t="shared" si="1"/>
        <v>1.479225</v>
      </c>
      <c r="L38" s="9">
        <f t="shared" si="2"/>
        <v>0.97046125000000005</v>
      </c>
      <c r="M38" s="9">
        <f t="shared" si="3"/>
        <v>20.379686249999999</v>
      </c>
    </row>
    <row r="39" spans="1:14" x14ac:dyDescent="0.4">
      <c r="A39" s="1" t="s">
        <v>142</v>
      </c>
      <c r="B39" s="1" t="s">
        <v>141</v>
      </c>
      <c r="C39" s="14">
        <v>2</v>
      </c>
      <c r="D39" s="4">
        <v>1</v>
      </c>
      <c r="E39" s="6" t="s">
        <v>143</v>
      </c>
      <c r="F39" s="1" t="s">
        <v>186</v>
      </c>
      <c r="G39" s="5">
        <f>5.8*Orders!C39</f>
        <v>11.6</v>
      </c>
      <c r="H39" s="5">
        <v>0.5</v>
      </c>
      <c r="I39" s="5">
        <v>5.7</v>
      </c>
      <c r="J39" s="5">
        <f t="shared" si="0"/>
        <v>17.8</v>
      </c>
      <c r="K39" s="9">
        <f t="shared" si="1"/>
        <v>1.4685000000000001</v>
      </c>
      <c r="L39" s="9">
        <f t="shared" si="2"/>
        <v>0.96342499999999998</v>
      </c>
      <c r="M39" s="9">
        <f t="shared" si="3"/>
        <v>20.231925</v>
      </c>
    </row>
    <row r="40" spans="1:14" x14ac:dyDescent="0.4">
      <c r="A40" s="1" t="s">
        <v>145</v>
      </c>
      <c r="B40" s="1" t="s">
        <v>144</v>
      </c>
      <c r="C40" s="4">
        <v>0</v>
      </c>
      <c r="D40" s="4">
        <v>1</v>
      </c>
      <c r="E40" s="6" t="s">
        <v>146</v>
      </c>
      <c r="F40" s="1" t="s">
        <v>147</v>
      </c>
      <c r="G40" s="5">
        <f>5.8*Orders!C40</f>
        <v>0</v>
      </c>
      <c r="H40" s="5">
        <v>0.5</v>
      </c>
      <c r="J40" s="5">
        <f t="shared" si="0"/>
        <v>0.5</v>
      </c>
      <c r="K40" s="9">
        <f t="shared" si="1"/>
        <v>4.1250000000000002E-2</v>
      </c>
      <c r="L40" s="9">
        <f t="shared" si="2"/>
        <v>2.7062500000000003E-2</v>
      </c>
      <c r="M40" s="9">
        <f t="shared" si="3"/>
        <v>0.5683125</v>
      </c>
    </row>
    <row r="41" spans="1:14" x14ac:dyDescent="0.4">
      <c r="A41" s="1" t="s">
        <v>148</v>
      </c>
      <c r="B41" s="1" t="s">
        <v>149</v>
      </c>
      <c r="C41" s="4">
        <v>0</v>
      </c>
      <c r="D41" s="4">
        <v>1</v>
      </c>
      <c r="E41" s="6" t="s">
        <v>150</v>
      </c>
      <c r="F41" s="1" t="s">
        <v>151</v>
      </c>
      <c r="G41" s="5">
        <f>5.8*Orders!C41</f>
        <v>0</v>
      </c>
      <c r="H41" s="5">
        <v>0.5</v>
      </c>
      <c r="J41" s="5">
        <f t="shared" si="0"/>
        <v>0.5</v>
      </c>
      <c r="K41" s="9">
        <f t="shared" si="1"/>
        <v>4.1250000000000002E-2</v>
      </c>
      <c r="L41" s="9">
        <f t="shared" si="2"/>
        <v>2.7062500000000003E-2</v>
      </c>
      <c r="M41" s="9">
        <f t="shared" si="3"/>
        <v>0.5683125</v>
      </c>
    </row>
    <row r="42" spans="1:14" x14ac:dyDescent="0.4">
      <c r="A42" s="1" t="s">
        <v>155</v>
      </c>
      <c r="B42" s="1" t="s">
        <v>152</v>
      </c>
      <c r="C42" s="14">
        <v>2</v>
      </c>
      <c r="D42" s="4">
        <v>2</v>
      </c>
      <c r="E42" s="6" t="s">
        <v>153</v>
      </c>
      <c r="F42" s="1" t="s">
        <v>154</v>
      </c>
      <c r="G42" s="5">
        <f>5.8*Orders!C42</f>
        <v>11.6</v>
      </c>
      <c r="H42" s="5">
        <v>0.5</v>
      </c>
      <c r="I42" s="5">
        <v>5.9</v>
      </c>
      <c r="J42" s="5">
        <f t="shared" si="0"/>
        <v>18</v>
      </c>
      <c r="K42" s="9">
        <f t="shared" si="1"/>
        <v>1.4850000000000001</v>
      </c>
      <c r="L42" s="9">
        <f t="shared" si="2"/>
        <v>0.97425000000000006</v>
      </c>
      <c r="M42" s="9">
        <f t="shared" si="3"/>
        <v>20.459250000000001</v>
      </c>
    </row>
    <row r="43" spans="1:14" hidden="1" x14ac:dyDescent="0.4">
      <c r="A43" s="1" t="s">
        <v>156</v>
      </c>
      <c r="B43" s="1" t="s">
        <v>157</v>
      </c>
      <c r="C43" s="14">
        <v>1</v>
      </c>
      <c r="D43" s="4">
        <v>0</v>
      </c>
      <c r="E43" s="6" t="s">
        <v>158</v>
      </c>
      <c r="F43" s="1" t="s">
        <v>216</v>
      </c>
      <c r="G43" s="5">
        <f>5.8*Orders!C43</f>
        <v>5.8</v>
      </c>
      <c r="H43" s="5">
        <v>0.5</v>
      </c>
      <c r="I43" s="5">
        <v>4.74</v>
      </c>
      <c r="J43" s="5">
        <f t="shared" si="0"/>
        <v>11.04</v>
      </c>
      <c r="K43" s="9">
        <f t="shared" si="1"/>
        <v>0.91079999999999994</v>
      </c>
      <c r="L43" s="9">
        <f t="shared" si="2"/>
        <v>0.59753999999999996</v>
      </c>
      <c r="M43" s="9">
        <f t="shared" si="3"/>
        <v>12.54834</v>
      </c>
    </row>
    <row r="44" spans="1:14" x14ac:dyDescent="0.4">
      <c r="A44" s="1" t="s">
        <v>163</v>
      </c>
      <c r="B44" s="1" t="s">
        <v>164</v>
      </c>
      <c r="C44" s="4">
        <v>0</v>
      </c>
      <c r="D44" s="4">
        <v>1</v>
      </c>
      <c r="E44" s="6" t="s">
        <v>165</v>
      </c>
      <c r="F44" s="1" t="s">
        <v>46</v>
      </c>
      <c r="G44" s="5">
        <f>5.8*Orders!C44</f>
        <v>0</v>
      </c>
      <c r="H44" s="5">
        <v>0.5</v>
      </c>
      <c r="J44" s="5">
        <f t="shared" ref="J44:J47" si="4">G44+H44+I44</f>
        <v>0.5</v>
      </c>
      <c r="K44" s="9">
        <f t="shared" ref="K44:K47" si="5">J44*0.0825</f>
        <v>4.1250000000000002E-2</v>
      </c>
      <c r="L44" s="9">
        <f t="shared" ref="L44:L47" si="6">(J44+K44)*0.05</f>
        <v>2.7062500000000003E-2</v>
      </c>
      <c r="M44" s="9">
        <f t="shared" ref="M44:M47" si="7">J44+K44+L44</f>
        <v>0.5683125</v>
      </c>
    </row>
    <row r="45" spans="1:14" hidden="1" x14ac:dyDescent="0.4">
      <c r="A45" s="13" t="s">
        <v>190</v>
      </c>
      <c r="B45" s="13" t="s">
        <v>191</v>
      </c>
      <c r="C45" s="14">
        <v>2</v>
      </c>
      <c r="D45" s="4">
        <v>0</v>
      </c>
      <c r="E45" s="6" t="s">
        <v>193</v>
      </c>
      <c r="F45" s="1" t="s">
        <v>192</v>
      </c>
      <c r="G45" s="5">
        <f>5.8*Orders!C45</f>
        <v>11.6</v>
      </c>
      <c r="H45" s="5">
        <v>0.5</v>
      </c>
      <c r="J45" s="5">
        <f t="shared" si="4"/>
        <v>12.1</v>
      </c>
      <c r="K45" s="9">
        <f t="shared" si="5"/>
        <v>0.99824999999999997</v>
      </c>
      <c r="L45" s="9">
        <f t="shared" si="6"/>
        <v>0.65491250000000001</v>
      </c>
      <c r="M45" s="9">
        <f t="shared" si="7"/>
        <v>13.7531625</v>
      </c>
    </row>
    <row r="46" spans="1:14" hidden="1" x14ac:dyDescent="0.4">
      <c r="A46" s="13" t="s">
        <v>221</v>
      </c>
      <c r="B46" s="13" t="s">
        <v>219</v>
      </c>
      <c r="C46" s="14">
        <v>1</v>
      </c>
      <c r="D46" s="4">
        <v>0</v>
      </c>
      <c r="E46" s="6" t="s">
        <v>222</v>
      </c>
      <c r="F46" s="1" t="s">
        <v>220</v>
      </c>
      <c r="G46" s="5">
        <f>5.8*Orders!C46</f>
        <v>5.8</v>
      </c>
      <c r="H46" s="5">
        <v>0.5</v>
      </c>
      <c r="J46" s="5">
        <f t="shared" si="4"/>
        <v>6.3</v>
      </c>
      <c r="K46" s="9">
        <f t="shared" si="5"/>
        <v>0.51975000000000005</v>
      </c>
      <c r="L46" s="9">
        <f t="shared" si="6"/>
        <v>0.3409875</v>
      </c>
      <c r="M46" s="9">
        <f t="shared" si="7"/>
        <v>7.1607374999999998</v>
      </c>
    </row>
    <row r="47" spans="1:14" hidden="1" x14ac:dyDescent="0.4">
      <c r="A47" s="13" t="s">
        <v>225</v>
      </c>
      <c r="B47" s="13" t="s">
        <v>226</v>
      </c>
      <c r="C47" s="14">
        <v>2</v>
      </c>
      <c r="D47" s="4">
        <v>0</v>
      </c>
      <c r="E47" s="6" t="s">
        <v>227</v>
      </c>
      <c r="F47" s="1" t="s">
        <v>228</v>
      </c>
      <c r="G47" s="5">
        <f>5.8*Orders!C47</f>
        <v>11.6</v>
      </c>
      <c r="H47" s="5">
        <v>0.5</v>
      </c>
      <c r="I47" s="5">
        <v>5.41</v>
      </c>
      <c r="J47" s="5">
        <f t="shared" si="4"/>
        <v>17.509999999999998</v>
      </c>
      <c r="K47" s="9">
        <f t="shared" si="5"/>
        <v>1.4445749999999999</v>
      </c>
      <c r="L47" s="9">
        <f t="shared" si="6"/>
        <v>0.94772875000000001</v>
      </c>
      <c r="M47" s="9">
        <f t="shared" si="7"/>
        <v>19.902303749999998</v>
      </c>
    </row>
    <row r="48" spans="1:14" x14ac:dyDescent="0.4">
      <c r="A48" s="1" t="s">
        <v>229</v>
      </c>
      <c r="B48" s="1" t="s">
        <v>230</v>
      </c>
      <c r="C48" s="4">
        <v>0</v>
      </c>
      <c r="D48" s="4">
        <v>1</v>
      </c>
      <c r="E48" s="6" t="s">
        <v>231</v>
      </c>
      <c r="F48" s="1" t="s">
        <v>46</v>
      </c>
      <c r="G48" s="5">
        <f>5.8*Orders!C48</f>
        <v>0</v>
      </c>
      <c r="H48" s="5">
        <v>0.5</v>
      </c>
      <c r="J48" s="5">
        <f t="shared" ref="J48" si="8">G48+H48+I48</f>
        <v>0.5</v>
      </c>
      <c r="K48" s="9">
        <f t="shared" ref="K48" si="9">J48*0.0825</f>
        <v>4.1250000000000002E-2</v>
      </c>
      <c r="L48" s="9">
        <f t="shared" ref="L48" si="10">(J48+K48)*0.05</f>
        <v>2.7062500000000003E-2</v>
      </c>
      <c r="M48" s="9">
        <f t="shared" ref="M48" si="11">J48+K48+L48</f>
        <v>0.5683125</v>
      </c>
    </row>
    <row r="49" spans="1:13" x14ac:dyDescent="0.4">
      <c r="A49" s="1" t="s">
        <v>232</v>
      </c>
      <c r="B49" s="1" t="s">
        <v>233</v>
      </c>
      <c r="C49" s="4">
        <v>0</v>
      </c>
      <c r="D49" s="4">
        <v>1</v>
      </c>
      <c r="E49" s="6" t="s">
        <v>234</v>
      </c>
      <c r="F49" s="1" t="s">
        <v>46</v>
      </c>
      <c r="G49" s="5">
        <f>5.8*Orders!C49</f>
        <v>0</v>
      </c>
      <c r="H49" s="5">
        <v>0.5</v>
      </c>
      <c r="J49" s="5">
        <f t="shared" ref="J49" si="12">G49+H49+I49</f>
        <v>0.5</v>
      </c>
      <c r="K49" s="9">
        <f t="shared" ref="K49" si="13">J49*0.0825</f>
        <v>4.1250000000000002E-2</v>
      </c>
      <c r="L49" s="9">
        <f t="shared" ref="L49" si="14">(J49+K49)*0.05</f>
        <v>2.7062500000000003E-2</v>
      </c>
      <c r="M49" s="9">
        <f t="shared" ref="M49" si="15">J49+K49+L49</f>
        <v>0.5683125</v>
      </c>
    </row>
    <row r="50" spans="1:13" x14ac:dyDescent="0.4">
      <c r="A50" s="1" t="s">
        <v>235</v>
      </c>
      <c r="B50" s="1" t="s">
        <v>236</v>
      </c>
      <c r="C50" s="4">
        <v>4</v>
      </c>
      <c r="D50" s="4">
        <v>0</v>
      </c>
      <c r="E50" s="6" t="s">
        <v>237</v>
      </c>
      <c r="F50" s="1" t="s">
        <v>238</v>
      </c>
      <c r="G50" s="5">
        <f>5.8*Orders!C50</f>
        <v>23.2</v>
      </c>
      <c r="H50" s="5">
        <v>1</v>
      </c>
      <c r="I50" s="1">
        <f>2*5.51</f>
        <v>11.02</v>
      </c>
      <c r="J50" s="5">
        <f t="shared" ref="J50" si="16">G50+H50+I50</f>
        <v>35.22</v>
      </c>
      <c r="K50" s="9">
        <f t="shared" ref="K50" si="17">J50*0.0825</f>
        <v>2.9056500000000001</v>
      </c>
      <c r="L50" s="9">
        <f t="shared" ref="L50" si="18">(J50+K50)*0.05</f>
        <v>1.9062825000000001</v>
      </c>
      <c r="M50" s="9">
        <f t="shared" ref="M50" si="19">J50+K50+L50</f>
        <v>40.031932500000003</v>
      </c>
    </row>
    <row r="51" spans="1:13" x14ac:dyDescent="0.4">
      <c r="B51" s="1" t="s">
        <v>213</v>
      </c>
      <c r="C51" s="53">
        <f>SUM(C5:C50)</f>
        <v>49</v>
      </c>
      <c r="D51" s="53">
        <f>SUM(D6:D50)</f>
        <v>35</v>
      </c>
    </row>
  </sheetData>
  <hyperlinks>
    <hyperlink ref="E6" r:id="rId1" xr:uid="{B5A8EF54-FB39-4C3D-BFC2-D56BE95A55F0}"/>
    <hyperlink ref="E5" r:id="rId2" xr:uid="{7869D258-97D2-4CAE-8663-E3F523EAE30F}"/>
    <hyperlink ref="E7" r:id="rId3" xr:uid="{34BC1A09-AA1C-431A-8081-C4BA30F6AAF1}"/>
    <hyperlink ref="E8" r:id="rId4" xr:uid="{9BBEE319-DA99-4B49-B4F3-2FEC2D81CC72}"/>
    <hyperlink ref="E9" r:id="rId5" xr:uid="{04440D3A-8C4E-46E0-90B0-0B6B46947A68}"/>
    <hyperlink ref="E10" r:id="rId6" xr:uid="{73388460-F7ED-46F9-831C-9A6DE8D4D1AF}"/>
    <hyperlink ref="E11" r:id="rId7" xr:uid="{35C86302-98D4-42DF-A7DB-4D9813795670}"/>
    <hyperlink ref="E12" r:id="rId8" xr:uid="{C02BE126-DBBD-441F-B042-79727F5AB768}"/>
    <hyperlink ref="E13" r:id="rId9" xr:uid="{E8B31872-F4C9-464C-8EF8-F34FC3059DA8}"/>
    <hyperlink ref="E14" r:id="rId10" xr:uid="{3E6CD3DD-9FFE-4954-9932-C261A94D2F66}"/>
    <hyperlink ref="E15" r:id="rId11" xr:uid="{84E0CB92-3FF7-43F9-8079-CCBE7DEBBF34}"/>
    <hyperlink ref="E16" r:id="rId12" xr:uid="{D81C1CAE-DE60-41E8-8D88-F3F6D9148FD0}"/>
    <hyperlink ref="E17" r:id="rId13" xr:uid="{8D74C248-5A02-4902-9568-9A192B729946}"/>
    <hyperlink ref="E18" r:id="rId14" xr:uid="{B2AD812C-FC1C-44E6-A52D-C30B644923C3}"/>
    <hyperlink ref="E19" r:id="rId15" xr:uid="{6D1071C0-24C1-4A23-A8CE-168C77377AAB}"/>
    <hyperlink ref="E20" r:id="rId16" xr:uid="{5BB3E5CC-E461-4FE7-9049-8830A3242578}"/>
    <hyperlink ref="E21" r:id="rId17" xr:uid="{85FCAF8A-C1FB-48EB-98FE-6F1CA797F635}"/>
    <hyperlink ref="E22" r:id="rId18" xr:uid="{1348BD6A-19F3-460F-B1B6-81D264CE7B84}"/>
    <hyperlink ref="E23" r:id="rId19" xr:uid="{B6A0CE15-2CB0-4CCD-B5D3-4E2353A0826C}"/>
    <hyperlink ref="E25" r:id="rId20" xr:uid="{2B83A875-6817-437C-84E6-F0D9CA3DB4CB}"/>
    <hyperlink ref="E24" r:id="rId21" xr:uid="{3197BE24-FA56-4259-B131-B5221EC0F967}"/>
    <hyperlink ref="E26" r:id="rId22" xr:uid="{AA8B826B-6269-4D32-8565-E4B0E407FF8F}"/>
    <hyperlink ref="E27" r:id="rId23" xr:uid="{C0A4E072-0197-47A6-832F-40AA7EE237A0}"/>
    <hyperlink ref="E28" r:id="rId24" xr:uid="{73CAA3FC-8C65-4750-BFE7-5A155E7A0829}"/>
    <hyperlink ref="E29" r:id="rId25" xr:uid="{F7F734F9-7EF9-4F87-AC9E-15D3A6F35AD4}"/>
    <hyperlink ref="E30" r:id="rId26" xr:uid="{ABAB973F-3104-413B-B8BF-0ED5A7E49BC5}"/>
    <hyperlink ref="E31" r:id="rId27" xr:uid="{89D67237-7E41-4CD2-9EAA-E96559D60AC4}"/>
    <hyperlink ref="E32" r:id="rId28" xr:uid="{0430E375-FA4A-480B-A682-7DEBDFC38F9F}"/>
    <hyperlink ref="E33" r:id="rId29" xr:uid="{08283C26-4897-4DE9-8239-3255396E3547}"/>
    <hyperlink ref="E34" r:id="rId30" xr:uid="{204262A6-F8FC-4BE3-BF10-EA06277A23C0}"/>
    <hyperlink ref="E35" r:id="rId31" xr:uid="{0DE88EDE-A2AF-464E-8D4C-374ED14809F9}"/>
    <hyperlink ref="N35" r:id="rId32" xr:uid="{C0FB65A7-536B-4699-98A9-00B9DA1319E6}"/>
    <hyperlink ref="E36" r:id="rId33" xr:uid="{3EEAEFF0-041B-4F16-AEBD-9F7D2D4C5CD2}"/>
    <hyperlink ref="E37" r:id="rId34" xr:uid="{048957EB-AFBE-4E94-B434-7CE997D3BC48}"/>
    <hyperlink ref="E38" r:id="rId35" xr:uid="{4FD1CBC4-8BE0-473A-81A5-8D388CA3DDFC}"/>
    <hyperlink ref="E39" r:id="rId36" xr:uid="{35023DA2-3292-4BE7-B29C-231C50A8CE1F}"/>
    <hyperlink ref="E40" r:id="rId37" xr:uid="{5B8F38D3-AB9E-4C35-91A9-0E3185D617A1}"/>
    <hyperlink ref="E41" r:id="rId38" xr:uid="{5AB135B4-1367-42EB-8B3A-FDD5AB2E963C}"/>
    <hyperlink ref="E42" r:id="rId39" xr:uid="{6A839895-046A-41D1-B428-FD15E5F1AC0B}"/>
    <hyperlink ref="E43" r:id="rId40" xr:uid="{CAD3CAB2-B94B-40A6-B7E6-D5CDECF5EA9F}"/>
    <hyperlink ref="E44" r:id="rId41" xr:uid="{A3E92C36-3783-42D7-9D5A-89A5C6C5B9BF}"/>
    <hyperlink ref="E45" r:id="rId42" xr:uid="{584EB477-63F4-4645-8BD7-B2AD03718356}"/>
    <hyperlink ref="E46" r:id="rId43" xr:uid="{8A55BF6A-4E41-4139-8318-2DDE187ECA71}"/>
    <hyperlink ref="E47" r:id="rId44" xr:uid="{0D1A8472-D4C7-44F2-B960-44155774EB8E}"/>
    <hyperlink ref="E48" r:id="rId45" xr:uid="{794E3B21-478A-4E83-86A5-BF76E01A5A52}"/>
    <hyperlink ref="E49" r:id="rId46" xr:uid="{68716815-67E6-4D67-92E8-62E32E62D40D}"/>
    <hyperlink ref="E50" r:id="rId47" xr:uid="{C9047EF9-DD38-440F-B1A7-2333447576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0C00-9E7E-4131-914D-471F65689A56}">
  <dimension ref="A1:O10"/>
  <sheetViews>
    <sheetView workbookViewId="0">
      <selection activeCell="C11" sqref="C11"/>
    </sheetView>
  </sheetViews>
  <sheetFormatPr defaultRowHeight="14.5" x14ac:dyDescent="0.35"/>
  <cols>
    <col min="1" max="1" width="11.6328125" style="20" customWidth="1"/>
    <col min="2" max="2" width="11.54296875" customWidth="1"/>
    <col min="13" max="13" width="10.81640625" customWidth="1"/>
    <col min="14" max="14" width="11.54296875" customWidth="1"/>
  </cols>
  <sheetData>
    <row r="1" spans="1:15" x14ac:dyDescent="0.35">
      <c r="E1" s="20" t="s">
        <v>171</v>
      </c>
      <c r="F1" s="20" t="s">
        <v>9</v>
      </c>
      <c r="G1" s="20" t="s">
        <v>172</v>
      </c>
      <c r="H1" s="20" t="s">
        <v>173</v>
      </c>
      <c r="J1" s="20" t="s">
        <v>174</v>
      </c>
      <c r="M1" s="24" t="s">
        <v>176</v>
      </c>
      <c r="N1" s="24" t="s">
        <v>175</v>
      </c>
      <c r="O1" s="24" t="s">
        <v>179</v>
      </c>
    </row>
    <row r="2" spans="1:15" x14ac:dyDescent="0.35">
      <c r="E2" s="16">
        <v>169.04</v>
      </c>
      <c r="F2" s="16">
        <v>27.11</v>
      </c>
      <c r="G2" s="16">
        <v>144.05000000000001</v>
      </c>
      <c r="H2" s="16">
        <v>2.87</v>
      </c>
      <c r="L2" t="s">
        <v>178</v>
      </c>
      <c r="M2" s="21">
        <f>C3/A3</f>
        <v>1.202</v>
      </c>
      <c r="N2" s="21">
        <f>C4/A4</f>
        <v>1.3090000000000002</v>
      </c>
      <c r="O2" s="21">
        <f>M2+N2</f>
        <v>2.5110000000000001</v>
      </c>
    </row>
    <row r="3" spans="1:15" x14ac:dyDescent="0.35">
      <c r="A3" s="20">
        <v>100</v>
      </c>
      <c r="B3" t="s">
        <v>167</v>
      </c>
      <c r="C3" s="16">
        <v>120.2</v>
      </c>
      <c r="D3" s="19">
        <f>C3/C6</f>
        <v>0.45895379915998469</v>
      </c>
      <c r="E3" s="21">
        <f>E2*$D3</f>
        <v>77.581550210003812</v>
      </c>
      <c r="F3" s="21">
        <f t="shared" ref="F3:H3" si="0">F2*$D3</f>
        <v>12.442237495227184</v>
      </c>
      <c r="G3" s="21">
        <f t="shared" si="0"/>
        <v>66.112294768995795</v>
      </c>
      <c r="H3" s="21">
        <f t="shared" si="0"/>
        <v>1.317197403589156</v>
      </c>
      <c r="J3" s="16">
        <f>(C3+E3+F3+G3+H3)/A3</f>
        <v>2.7765327987781592</v>
      </c>
      <c r="L3" t="s">
        <v>171</v>
      </c>
      <c r="M3" s="21">
        <f>E3/A3</f>
        <v>0.77581550210003813</v>
      </c>
      <c r="N3" s="21">
        <f>E4/A4</f>
        <v>0.84487728140511631</v>
      </c>
      <c r="O3" s="21">
        <f t="shared" ref="O3:O7" si="1">M3+N3</f>
        <v>1.6206927835051546</v>
      </c>
    </row>
    <row r="4" spans="1:15" x14ac:dyDescent="0.35">
      <c r="A4" s="20">
        <v>100</v>
      </c>
      <c r="B4" t="s">
        <v>168</v>
      </c>
      <c r="C4" s="16">
        <v>130.9</v>
      </c>
      <c r="D4" s="19">
        <f>C4/C6</f>
        <v>0.49980908743795338</v>
      </c>
      <c r="E4" s="21">
        <f>E2*$D4</f>
        <v>84.487728140511635</v>
      </c>
      <c r="F4" s="21">
        <f t="shared" ref="F4:H4" si="2">F2*$D4</f>
        <v>13.549824360442916</v>
      </c>
      <c r="G4" s="21">
        <f t="shared" si="2"/>
        <v>71.997499045437195</v>
      </c>
      <c r="H4" s="21">
        <f t="shared" si="2"/>
        <v>1.4344520809469263</v>
      </c>
      <c r="J4" s="16">
        <f t="shared" ref="J4:J5" si="3">(C4+E4+F4+G4+H4)/A4</f>
        <v>3.0236950362733865</v>
      </c>
      <c r="L4" t="s">
        <v>9</v>
      </c>
      <c r="M4" s="21">
        <f>F3/A3</f>
        <v>0.12442237495227185</v>
      </c>
      <c r="N4" s="21">
        <f>F4/A4</f>
        <v>0.13549824360442916</v>
      </c>
      <c r="O4" s="21">
        <f t="shared" si="1"/>
        <v>0.25992061855670101</v>
      </c>
    </row>
    <row r="5" spans="1:15" x14ac:dyDescent="0.35">
      <c r="A5" s="20">
        <v>5</v>
      </c>
      <c r="B5" t="s">
        <v>169</v>
      </c>
      <c r="C5" s="17">
        <v>10.8</v>
      </c>
      <c r="D5" s="19">
        <f>C5/C6</f>
        <v>4.1237113402061855E-2</v>
      </c>
      <c r="E5" s="21">
        <f>E2*$D5</f>
        <v>6.9707216494845357</v>
      </c>
      <c r="F5" s="21">
        <f t="shared" ref="F5:H5" si="4">F2*$D5</f>
        <v>1.1179381443298968</v>
      </c>
      <c r="G5" s="21">
        <f t="shared" si="4"/>
        <v>5.9402061855670105</v>
      </c>
      <c r="H5" s="21">
        <f t="shared" si="4"/>
        <v>0.11835051546391753</v>
      </c>
      <c r="J5" s="16">
        <f t="shared" si="3"/>
        <v>4.9894432989690722</v>
      </c>
      <c r="L5" t="s">
        <v>172</v>
      </c>
      <c r="M5" s="21">
        <f>G3/A3</f>
        <v>0.66112294768995794</v>
      </c>
      <c r="N5" s="21">
        <f>G4/A4</f>
        <v>0.71997499045437197</v>
      </c>
      <c r="O5" s="21">
        <f t="shared" si="1"/>
        <v>1.3810979381443298</v>
      </c>
    </row>
    <row r="6" spans="1:15" x14ac:dyDescent="0.35">
      <c r="B6" t="s">
        <v>170</v>
      </c>
      <c r="C6" s="16">
        <f>SUM(C3:C5)</f>
        <v>261.90000000000003</v>
      </c>
      <c r="D6" s="18">
        <f>SUM(D3:D5)</f>
        <v>0.99999999999999989</v>
      </c>
      <c r="E6" s="21">
        <f>SUM(E3:E5)</f>
        <v>169.04</v>
      </c>
      <c r="F6" s="21">
        <f t="shared" ref="F6:H6" si="5">SUM(F3:F5)</f>
        <v>27.11</v>
      </c>
      <c r="G6" s="21">
        <f t="shared" si="5"/>
        <v>144.04999999999998</v>
      </c>
      <c r="H6" s="21">
        <f t="shared" si="5"/>
        <v>2.87</v>
      </c>
      <c r="I6" s="21">
        <f>C6+E6+F6+G6+H6</f>
        <v>604.97</v>
      </c>
      <c r="L6" t="s">
        <v>173</v>
      </c>
      <c r="M6" s="21">
        <f>H3/A3</f>
        <v>1.317197403589156E-2</v>
      </c>
      <c r="N6" s="21">
        <f>H4/A4</f>
        <v>1.4344520809469264E-2</v>
      </c>
      <c r="O6" s="21">
        <f t="shared" si="1"/>
        <v>2.7516494845360825E-2</v>
      </c>
    </row>
    <row r="7" spans="1:15" x14ac:dyDescent="0.35">
      <c r="L7" s="23" t="s">
        <v>177</v>
      </c>
      <c r="M7" s="22">
        <f>SUM(M2:M6)</f>
        <v>2.7765327987781596</v>
      </c>
      <c r="N7" s="22">
        <f>SUM(N2:N6)</f>
        <v>3.023695036273387</v>
      </c>
      <c r="O7" s="25">
        <f t="shared" si="1"/>
        <v>5.8002278350515466</v>
      </c>
    </row>
    <row r="9" spans="1:15" x14ac:dyDescent="0.35">
      <c r="A9" s="20" t="s">
        <v>181</v>
      </c>
      <c r="B9" t="s">
        <v>182</v>
      </c>
      <c r="C9" t="s">
        <v>184</v>
      </c>
    </row>
    <row r="10" spans="1:15" x14ac:dyDescent="0.35">
      <c r="B10" t="s">
        <v>183</v>
      </c>
      <c r="C10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3DB0-2823-4F24-B92B-DA8251650A2D}">
  <dimension ref="A1:N19"/>
  <sheetViews>
    <sheetView tabSelected="1" workbookViewId="0">
      <selection activeCell="G20" sqref="G20"/>
    </sheetView>
  </sheetViews>
  <sheetFormatPr defaultRowHeight="14.5" x14ac:dyDescent="0.35"/>
  <cols>
    <col min="1" max="1" width="6" customWidth="1"/>
    <col min="2" max="2" width="9.54296875" customWidth="1"/>
    <col min="3" max="3" width="29.26953125" customWidth="1"/>
    <col min="5" max="5" width="20.1796875" bestFit="1" customWidth="1"/>
    <col min="6" max="6" width="9.26953125" customWidth="1"/>
    <col min="7" max="7" width="43.453125" bestFit="1" customWidth="1"/>
  </cols>
  <sheetData>
    <row r="1" spans="1:14" ht="16" x14ac:dyDescent="0.4">
      <c r="A1" s="33">
        <v>50</v>
      </c>
      <c r="B1" s="1" t="s">
        <v>235</v>
      </c>
      <c r="C1" s="1" t="s">
        <v>236</v>
      </c>
      <c r="D1" s="4">
        <v>4</v>
      </c>
      <c r="E1" s="4">
        <v>0</v>
      </c>
      <c r="F1" s="6" t="s">
        <v>237</v>
      </c>
      <c r="G1" s="1" t="s">
        <v>238</v>
      </c>
      <c r="H1" s="5">
        <f>5.8*D1</f>
        <v>23.2</v>
      </c>
      <c r="I1" s="5">
        <v>1</v>
      </c>
      <c r="J1" s="1">
        <f>2*5.51</f>
        <v>11.02</v>
      </c>
      <c r="K1" s="5">
        <f t="shared" ref="K1" si="0">H1+I1+J1</f>
        <v>35.22</v>
      </c>
      <c r="L1" s="9">
        <f t="shared" ref="L1" si="1">K1*0.0825</f>
        <v>2.9056500000000001</v>
      </c>
      <c r="M1" s="9">
        <f t="shared" ref="M1" si="2">(K1+L1)*0.05</f>
        <v>1.9062825000000001</v>
      </c>
      <c r="N1" s="9">
        <f t="shared" ref="N1" si="3">K1+L1+M1</f>
        <v>40.031932500000003</v>
      </c>
    </row>
    <row r="2" spans="1:14" ht="16" x14ac:dyDescent="0.4">
      <c r="B2" s="1"/>
      <c r="C2" s="1"/>
      <c r="D2" s="4"/>
      <c r="E2" s="4"/>
      <c r="F2" s="6"/>
      <c r="G2" s="1"/>
      <c r="H2" s="50"/>
      <c r="I2" s="5"/>
      <c r="J2" s="5"/>
      <c r="K2" s="5"/>
      <c r="L2" s="9"/>
      <c r="M2" s="9"/>
      <c r="N2" s="9"/>
    </row>
    <row r="3" spans="1:14" ht="16" x14ac:dyDescent="0.4">
      <c r="B3" s="1"/>
      <c r="C3" s="1"/>
      <c r="D3" s="4"/>
      <c r="E3" s="4"/>
      <c r="F3" s="6"/>
      <c r="G3" s="1"/>
      <c r="H3" s="50"/>
      <c r="I3" s="5"/>
      <c r="J3" s="5"/>
      <c r="K3" s="5"/>
      <c r="L3" s="9"/>
      <c r="M3" s="9"/>
      <c r="N3" s="9"/>
    </row>
    <row r="5" spans="1:14" ht="18.5" x14ac:dyDescent="0.45">
      <c r="B5" s="23" t="s">
        <v>194</v>
      </c>
      <c r="C5" s="26" t="str">
        <f>F1</f>
        <v>fakrause@gmail.com</v>
      </c>
      <c r="E5" s="27" t="s">
        <v>160</v>
      </c>
      <c r="F5" s="28"/>
      <c r="G5" s="29">
        <f>A1</f>
        <v>50</v>
      </c>
    </row>
    <row r="6" spans="1:14" x14ac:dyDescent="0.35">
      <c r="B6" s="23" t="s">
        <v>195</v>
      </c>
      <c r="C6" s="26" t="str">
        <f>B1</f>
        <v>Fred Krause</v>
      </c>
      <c r="E6" s="30" t="s">
        <v>196</v>
      </c>
      <c r="F6" s="28"/>
    </row>
    <row r="7" spans="1:14" x14ac:dyDescent="0.35">
      <c r="B7" s="23" t="s">
        <v>197</v>
      </c>
      <c r="C7" s="26" t="str">
        <f>C1</f>
        <v>WF8Z</v>
      </c>
      <c r="E7" s="28" t="s">
        <v>161</v>
      </c>
      <c r="F7" s="31"/>
    </row>
    <row r="8" spans="1:14" x14ac:dyDescent="0.35">
      <c r="B8" s="23" t="s">
        <v>198</v>
      </c>
      <c r="C8" s="32" t="str">
        <f>G1</f>
        <v>4538 Mosiman Rd., Middletown, OH  45042-1626</v>
      </c>
      <c r="D8" s="33"/>
      <c r="E8" s="33"/>
      <c r="F8" s="33"/>
    </row>
    <row r="10" spans="1:14" x14ac:dyDescent="0.35">
      <c r="A10" s="34" t="s">
        <v>199</v>
      </c>
      <c r="B10" s="35" t="s">
        <v>200</v>
      </c>
      <c r="C10" s="35" t="s">
        <v>201</v>
      </c>
      <c r="D10" s="35" t="s">
        <v>202</v>
      </c>
      <c r="E10" s="35" t="s">
        <v>203</v>
      </c>
      <c r="F10" s="35" t="s">
        <v>204</v>
      </c>
      <c r="L10" t="s">
        <v>205</v>
      </c>
    </row>
    <row r="11" spans="1:14" x14ac:dyDescent="0.35">
      <c r="B11" s="36">
        <f>D1</f>
        <v>4</v>
      </c>
      <c r="C11" t="s">
        <v>214</v>
      </c>
      <c r="D11" s="21">
        <f>Materials!O7</f>
        <v>5.8002278350515466</v>
      </c>
      <c r="E11" s="37">
        <f>D11*B11</f>
        <v>23.200911340206186</v>
      </c>
      <c r="F11" s="38">
        <f>B11*L11</f>
        <v>24</v>
      </c>
      <c r="L11" s="20">
        <v>6</v>
      </c>
    </row>
    <row r="12" spans="1:14" x14ac:dyDescent="0.35">
      <c r="B12" s="39">
        <f>E1</f>
        <v>0</v>
      </c>
      <c r="C12" s="40" t="s">
        <v>215</v>
      </c>
      <c r="D12" s="41">
        <f>0</f>
        <v>0</v>
      </c>
      <c r="E12" s="42">
        <f>D12*B12</f>
        <v>0</v>
      </c>
      <c r="F12" s="43">
        <f t="shared" ref="F12" si="4">B12*L12</f>
        <v>0</v>
      </c>
      <c r="L12" s="20">
        <v>0</v>
      </c>
    </row>
    <row r="13" spans="1:14" x14ac:dyDescent="0.35">
      <c r="C13" t="s">
        <v>206</v>
      </c>
      <c r="E13" s="37">
        <f>SUM(E11:E12)</f>
        <v>23.200911340206186</v>
      </c>
      <c r="F13" s="38">
        <f>SUM(F11:F12)</f>
        <v>24</v>
      </c>
      <c r="L13" s="38" t="s">
        <v>213</v>
      </c>
    </row>
    <row r="14" spans="1:14" x14ac:dyDescent="0.35">
      <c r="C14" t="s">
        <v>207</v>
      </c>
      <c r="E14" s="21">
        <f>I1</f>
        <v>1</v>
      </c>
    </row>
    <row r="15" spans="1:14" x14ac:dyDescent="0.35">
      <c r="B15" s="40"/>
      <c r="C15" s="40" t="s">
        <v>171</v>
      </c>
      <c r="D15" s="40"/>
      <c r="E15" s="49">
        <f>J1</f>
        <v>11.02</v>
      </c>
      <c r="F15" s="44" t="s">
        <v>208</v>
      </c>
    </row>
    <row r="16" spans="1:14" x14ac:dyDescent="0.35">
      <c r="C16" s="23" t="s">
        <v>209</v>
      </c>
      <c r="D16" s="23"/>
      <c r="E16" s="45">
        <f>SUM(E13:E15)</f>
        <v>35.220911340206186</v>
      </c>
    </row>
    <row r="17" spans="2:6" x14ac:dyDescent="0.35">
      <c r="C17" t="s">
        <v>210</v>
      </c>
      <c r="E17" s="37">
        <f>E16*0.0825</f>
        <v>2.9057251855670105</v>
      </c>
    </row>
    <row r="18" spans="2:6" ht="15" thickBot="1" x14ac:dyDescent="0.4">
      <c r="B18" s="46"/>
      <c r="C18" s="47" t="s">
        <v>211</v>
      </c>
      <c r="D18" s="47"/>
      <c r="E18" s="48">
        <f>(E16+E17)*0.05</f>
        <v>1.9063318262886597</v>
      </c>
      <c r="F18" s="46"/>
    </row>
    <row r="19" spans="2:6" ht="15" thickTop="1" x14ac:dyDescent="0.35">
      <c r="C19" s="23" t="s">
        <v>212</v>
      </c>
      <c r="E19" s="45">
        <f>E16+E17+E18</f>
        <v>40.03296835206185</v>
      </c>
      <c r="F19" t="s">
        <v>213</v>
      </c>
    </row>
  </sheetData>
  <hyperlinks>
    <hyperlink ref="F1" r:id="rId1" xr:uid="{802CBB45-01BA-48ED-8F33-048E4AC4FEC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Orders</vt:lpstr>
      <vt:lpstr>Materials</vt:lpstr>
      <vt:lpstr>Ship Sheet</vt:lpstr>
      <vt:lpstr>'Ship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cp:lastPrinted>2025-09-22T01:46:50Z</cp:lastPrinted>
  <dcterms:created xsi:type="dcterms:W3CDTF">2025-09-06T04:24:16Z</dcterms:created>
  <dcterms:modified xsi:type="dcterms:W3CDTF">2025-09-26T00:37:00Z</dcterms:modified>
</cp:coreProperties>
</file>